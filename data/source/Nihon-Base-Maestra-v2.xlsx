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en" sheetId="1" state="visible" r:id="rId1"/>
    <sheet name="Lugares" sheetId="2" state="visible" r:id="rId2"/>
    <sheet name="Clusters" sheetId="3" state="visible" r:id="rId3"/>
    <sheet name="Cercanos" sheetId="4" state="visible" r:id="rId4"/>
    <sheet name="Excursiones" sheetId="5" state="visible" r:id="rId5"/>
    <sheet name="Hidden Gems" sheetId="6" state="visible" r:id="rId6"/>
    <sheet name="Comparativas" sheetId="7" state="visible" r:id="rId7"/>
    <sheet name="Cambios 2026" sheetId="8" state="visible" r:id="rId8"/>
    <sheet name="Feb-Mar 2027" sheetId="9" state="visible" r:id="rId9"/>
    <sheet name="Fuentes" sheetId="10" state="visible" r:id="rId10"/>
    <sheet name="Configuración" sheetId="11" state="visible" r:id="rId11"/>
    <sheet name="CHANGELOG_V2" sheetId="12" state="visible" r:id="rId12"/>
    <sheet name="PENDIENTES_2027" sheetId="13" state="visible" r:id="rId13"/>
    <sheet name="AUDITORIA_DECISIONES" sheetId="14" state="visible" r:id="rId14"/>
  </sheets>
  <definedNames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0000"/>
    <numFmt numFmtId="166" formatCode="0.0000"/>
    <numFmt numFmtId="167" formatCode="yyyy-mm-dd"/>
  </numFmts>
  <fonts count="11">
    <font>
      <name val="Carlito"/>
      <sz val="11"/>
    </font>
    <font>
      <name val="Aptos"/>
      <color rgb="FF101828"/>
      <sz val="9"/>
    </font>
    <font>
      <name val="Aptos"/>
      <b val="1"/>
      <color rgb="FFFFFFFF"/>
      <sz val="9"/>
    </font>
    <font>
      <name val="Carlito"/>
      <b val="1"/>
      <color rgb="FFFFFFFF"/>
      <sz val="18"/>
    </font>
    <font>
      <name val="Carlito"/>
      <i val="1"/>
      <color rgb="FF101828"/>
      <sz val="10"/>
    </font>
    <font>
      <name val="Carlito"/>
      <color rgb="FF101828"/>
      <sz val="11"/>
    </font>
    <font>
      <name val="Carlito"/>
      <b val="1"/>
      <color rgb="FFFFFFFF"/>
      <sz val="11"/>
    </font>
    <font>
      <name val="Carlito"/>
      <b val="1"/>
      <color rgb="FFC92332"/>
      <sz val="16"/>
    </font>
    <font>
      <name val="Carlito"/>
      <b val="1"/>
      <color rgb="FF174EA6"/>
      <sz val="16"/>
    </font>
    <font>
      <name val="Carlito"/>
      <b val="1"/>
      <color rgb="FF1F7A5A"/>
      <sz val="16"/>
    </font>
    <font>
      <name val="Carlito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4EA6"/>
      </patternFill>
    </fill>
    <fill>
      <patternFill patternType="solid">
        <fgColor rgb="FF101828"/>
      </patternFill>
    </fill>
    <fill>
      <patternFill patternType="solid">
        <fgColor rgb="FFF7F3EA"/>
      </patternFill>
    </fill>
    <fill>
      <patternFill patternType="solid">
        <fgColor rgb="FFEEF4FF"/>
      </patternFill>
    </fill>
    <fill>
      <patternFill patternType="solid">
        <fgColor rgb="FF0B3B82"/>
      </patternFill>
    </fill>
  </fills>
  <borders count="20">
    <border/>
    <border>
      <left style="thin">
        <color rgb="FFEAECF0"/>
      </left>
      <top style="thin">
        <color rgb="FFEAECF0"/>
      </top>
    </border>
    <border>
      <right style="thin">
        <color rgb="FFEAECF0"/>
      </right>
      <top style="thin">
        <color rgb="FFEAECF0"/>
      </top>
    </border>
    <border>
      <left style="thin">
        <color rgb="FFEAECF0"/>
      </left>
    </border>
    <border>
      <right style="thin">
        <color rgb="FFEAECF0"/>
      </right>
    </border>
    <border>
      <left style="thin">
        <color rgb="FFEAECF0"/>
      </left>
      <bottom style="thin">
        <color rgb="FFEAECF0"/>
      </bottom>
    </border>
    <border>
      <right style="thin">
        <color rgb="FFEAECF0"/>
      </right>
      <bottom style="thin">
        <color rgb="FFEAECF0"/>
      </bottom>
    </border>
    <border>
      <right style="thin">
        <color rgb="FFD8D0C4"/>
      </right>
      <bottom style="thin">
        <color rgb="FFD8D0C4"/>
      </bottom>
    </border>
    <border>
      <left style="thin">
        <color rgb="FFD8D0C4"/>
      </left>
      <right style="thin">
        <color rgb="FFD8D0C4"/>
      </right>
      <bottom style="thin">
        <color rgb="FFD8D0C4"/>
      </bottom>
    </border>
    <border>
      <left style="thin">
        <color rgb="FFD8D0C4"/>
      </left>
      <bottom style="thin">
        <color rgb="FFD8D0C4"/>
      </bottom>
    </border>
    <border>
      <right style="thin">
        <color rgb="FFD8D0C4"/>
      </right>
      <top style="thin">
        <color rgb="FFD8D0C4"/>
      </top>
      <bottom style="thin">
        <color rgb="FFD8D0C4"/>
      </bottom>
    </border>
    <border>
      <left style="thin">
        <color rgb="FFD8D0C4"/>
      </left>
      <right style="thin">
        <color rgb="FFD8D0C4"/>
      </right>
      <top style="thin">
        <color rgb="FFD8D0C4"/>
      </top>
      <bottom style="thin">
        <color rgb="FFD8D0C4"/>
      </bottom>
    </border>
    <border>
      <left style="thin">
        <color rgb="FFD8D0C4"/>
      </left>
      <top style="thin">
        <color rgb="FFD8D0C4"/>
      </top>
      <bottom style="thin">
        <color rgb="FFD8D0C4"/>
      </bottom>
    </border>
    <border>
      <right style="thin">
        <color rgb="FFD8D0C4"/>
      </right>
      <top style="thin">
        <color rgb="FFD8D0C4"/>
      </top>
    </border>
    <border>
      <left style="thin">
        <color rgb="FFD8D0C4"/>
      </left>
      <right style="thin">
        <color rgb="FFD8D0C4"/>
      </right>
      <top style="thin">
        <color rgb="FFD8D0C4"/>
      </top>
    </border>
    <border>
      <left style="thin">
        <color rgb="FFD8D0C4"/>
      </left>
      <top style="thin">
        <color rgb="FFD8D0C4"/>
      </top>
    </border>
    <border>
      <right style="thin">
        <color rgb="FFD8D0C4"/>
      </right>
    </border>
    <border>
      <bottom style="thin">
        <color rgb="FFD8D0C4"/>
      </bottom>
    </border>
    <border>
      <top style="thin">
        <color rgb="FFD8D0C4"/>
      </top>
    </border>
    <border>
      <top style="thin">
        <color rgb="FFD8D0C4"/>
      </top>
      <bottom style="thin">
        <color rgb="FFD8D0C4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6" fontId="1" fillId="0" borderId="0" applyAlignment="1" pivotButton="0" quotePrefix="0" xfId="0">
      <alignment vertical="top"/>
    </xf>
    <xf numFmtId="167" fontId="1" fillId="0" borderId="0" applyAlignment="1" pivotButton="0" quotePrefix="0" xfId="0">
      <alignment vertical="top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4" pivotButton="0" quotePrefix="0" xfId="0"/>
    <xf numFmtId="0" fontId="5" fillId="5" borderId="5" pivotButton="0" quotePrefix="0" xfId="0"/>
    <xf numFmtId="0" fontId="5" fillId="5" borderId="6" pivotButton="0" quotePrefix="0" xfId="0"/>
    <xf numFmtId="0" fontId="5" fillId="2" borderId="1" pivotButton="0" quotePrefix="0" xfId="0"/>
    <xf numFmtId="0" fontId="5" fillId="2" borderId="2" pivotButton="0" quotePrefix="0" xfId="0"/>
    <xf numFmtId="0" fontId="0" fillId="2" borderId="0" pivotButton="0" quotePrefix="0" xfId="0"/>
    <xf numFmtId="0" fontId="6" fillId="2" borderId="1" pivotButton="0" quotePrefix="0" xfId="0"/>
    <xf numFmtId="0" fontId="6" fillId="2" borderId="2" pivotButton="0" quotePrefix="0" xfId="0"/>
    <xf numFmtId="0" fontId="6" fillId="2" borderId="0" pivotButton="0" quotePrefix="0" xfId="0"/>
    <xf numFmtId="0" fontId="7" fillId="5" borderId="4" pivotButton="0" quotePrefix="0" xfId="0"/>
    <xf numFmtId="0" fontId="7" fillId="5" borderId="6" pivotButton="0" quotePrefix="0" xfId="0"/>
    <xf numFmtId="0" fontId="8" fillId="5" borderId="4" pivotButton="0" quotePrefix="0" xfId="0"/>
    <xf numFmtId="0" fontId="8" fillId="5" borderId="6" pivotButton="0" quotePrefix="0" xfId="0"/>
    <xf numFmtId="0" fontId="9" fillId="5" borderId="4" pivotButton="0" quotePrefix="0" xfId="0"/>
    <xf numFmtId="0" fontId="9" fillId="5" borderId="6" pivotButton="0" quotePrefix="0" xfId="0"/>
    <xf numFmtId="0" fontId="10" fillId="3" borderId="0" pivotButton="0" quotePrefix="0" xfId="0"/>
    <xf numFmtId="0" fontId="5" fillId="4" borderId="0" pivotButton="0" quotePrefix="0" xfId="0"/>
    <xf numFmtId="0" fontId="5" fillId="4" borderId="7" pivotButton="0" quotePrefix="0" xfId="0"/>
    <xf numFmtId="0" fontId="5" fillId="4" borderId="8" pivotButton="0" quotePrefix="0" xfId="0"/>
    <xf numFmtId="0" fontId="5" fillId="4" borderId="9" pivotButton="0" quotePrefix="0" xfId="0"/>
    <xf numFmtId="0" fontId="5" fillId="4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4" borderId="13" pivotButton="0" quotePrefix="0" xfId="0"/>
    <xf numFmtId="0" fontId="5" fillId="4" borderId="14" pivotButton="0" quotePrefix="0" xfId="0"/>
    <xf numFmtId="0" fontId="5" fillId="4" borderId="15" pivotButton="0" quotePrefix="0" xfId="0"/>
    <xf numFmtId="0" fontId="5" fillId="4" borderId="7" applyAlignment="1" pivotButton="0" quotePrefix="0" xfId="0">
      <alignment wrapText="1"/>
    </xf>
    <xf numFmtId="0" fontId="5" fillId="4" borderId="8" applyAlignment="1" pivotButton="0" quotePrefix="0" xfId="0">
      <alignment wrapText="1"/>
    </xf>
    <xf numFmtId="0" fontId="5" fillId="4" borderId="9" applyAlignment="1" pivotButton="0" quotePrefix="0" xfId="0">
      <alignment wrapText="1"/>
    </xf>
    <xf numFmtId="0" fontId="5" fillId="4" borderId="10" applyAlignment="1" pivotButton="0" quotePrefix="0" xfId="0">
      <alignment wrapText="1"/>
    </xf>
    <xf numFmtId="0" fontId="5" fillId="4" borderId="11" applyAlignment="1" pivotButton="0" quotePrefix="0" xfId="0">
      <alignment wrapText="1"/>
    </xf>
    <xf numFmtId="0" fontId="5" fillId="4" borderId="12" applyAlignment="1" pivotButton="0" quotePrefix="0" xfId="0">
      <alignment wrapText="1"/>
    </xf>
    <xf numFmtId="0" fontId="5" fillId="4" borderId="13" applyAlignment="1" pivotButton="0" quotePrefix="0" xfId="0">
      <alignment wrapText="1"/>
    </xf>
    <xf numFmtId="0" fontId="5" fillId="4" borderId="14" applyAlignment="1" pivotButton="0" quotePrefix="0" xfId="0">
      <alignment wrapText="1"/>
    </xf>
    <xf numFmtId="0" fontId="5" fillId="4" borderId="15" applyAlignment="1" pivotButton="0" quotePrefix="0" xfId="0">
      <alignment wrapText="1"/>
    </xf>
    <xf numFmtId="2" fontId="1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center" wrapText="1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0" fillId="0" borderId="17" pivotButton="0" quotePrefix="0" xfId="0"/>
    <xf numFmtId="0" fontId="0" fillId="0" borderId="7" pivotButton="0" quotePrefix="0" xfId="0"/>
    <xf numFmtId="0" fontId="0" fillId="0" borderId="19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3" pivotButton="0" quotePrefix="0" xfId="0"/>
    <xf numFmtId="164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/>
    </xf>
    <xf numFmtId="167" fontId="1" fillId="0" borderId="0" applyAlignment="1" pivotButton="0" quotePrefix="0" xfId="0">
      <alignment vertical="top"/>
    </xf>
  </cellXfs>
  <cellStyles count="1">
    <cellStyle name="Normal" xfId="0"/>
  </cellStyles>
  <dxfs count="2">
    <dxf>
      <font>
        <b val="1"/>
        <color rgb="FF991B1B"/>
      </font>
      <fill>
        <patternFill>
          <bgColor rgb="FFFEE2E2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PlacesTable" displayName="PlacesTable" ref="A1:AY215" headerRowCount="1" totalsRowCount="0" totalsRowShown="0">
  <tableColumns count="51">
    <tableColumn id="1" name="ID"/>
    <tableColumn id="2" name="Hub"/>
    <tableColumn id="3" name="Región"/>
    <tableColumn id="4" name="Prefectura"/>
    <tableColumn id="5" name="Municipio"/>
    <tableColumn id="6" name="Zona/barrio"/>
    <tableColumn id="7" name="Cluster"/>
    <tableColumn id="8" name="Nombre oficial"/>
    <tableColumn id="9" name="Nombre japonés"/>
    <tableColumn id="10" name="Título mapa"/>
    <tableColumn id="11" name="Categoría"/>
    <tableColumn id="12" name="Tipo"/>
    <tableColumn id="13" name="Grado"/>
    <tableColumn id="14" name="Razón del grado"/>
    <tableColumn id="15" name="Descripción corta"/>
    <tableColumn id="16" name="Qué lo hace diferente"/>
    <tableColumn id="17" name="Qué se hace/ve"/>
    <tableColumn id="18" name="Duración"/>
    <tableColumn id="19" name="Mejor momento"/>
    <tableColumn id="20" name="Mejor época"/>
    <tableColumn id="21" name="Aglomeración"/>
    <tableColumn id="22" name="Qué tan turístico"/>
    <tableColumn id="23" name="Precio JPY mín"/>
    <tableColumn id="24" name="Precio JPY máx"/>
    <tableColumn id="25" name="Precio MXN mín"/>
    <tableColumn id="26" name="Precio MXN máx"/>
    <tableColumn id="27" name="Reserva"/>
    <tableColumn id="28" name="Anticipación"/>
    <tableColumn id="29" name="Horario"/>
    <tableColumn id="30" name="Días de cierre"/>
    <tableColumn id="31" name="Estación/transporte útil"/>
    <tableColumn id="32" name="Accesibilidad aproximada"/>
    <tableColumn id="33" name="Latitud"/>
    <tableColumn id="34" name="Longitud"/>
    <tableColumn id="35" name="Página oficial/fuente"/>
    <tableColumn id="36" name="Estado de información"/>
    <tableColumn id="37" name="Etiqueta"/>
    <tableColumn id="38" name="Ideal para"/>
    <tableColumn id="39" name="Impacto visual 1–5"/>
    <tableColumn id="40" name="Originalidad 1–5"/>
    <tableColumn id="41" name="Valor/tiempo 1–5"/>
    <tableColumn id="42" name="Turismo 1–5"/>
    <tableColumn id="43" name="Imagen recomendada"/>
    <tableColumn id="44" name="Si estás aquí..."/>
    <tableColumn id="45" name="Hidden Gem Status"/>
    <tableColumn id="46" name="Alternativa a"/>
    <tableColumn id="47" name="Google Maps"/>
    <tableColumn id="48" name="Actualizado"/>
    <tableColumn id="49" name="Estado Feb–Mar 2027"/>
    <tableColumn id="50" name="Advertencia / oportunidad Feb–Mar 2027"/>
    <tableColumn id="51" name="Acción recomendada Feb–Mar 20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sTable" displayName="ClustersTable" ref="A1:I89" headerRowCount="1" totalsRowCount="0" totalsRowShown="0">
  <tableColumns count="9">
    <tableColumn id="1" name="Cluster ID"/>
    <tableColumn id="2" name="Hub"/>
    <tableColumn id="3" name="Cluster"/>
    <tableColumn id="4" name="N.º fichas"/>
    <tableColumn id="5" name="S/A"/>
    <tableColumn id="6" name="Lat centro"/>
    <tableColumn id="7" name="Lon centro"/>
    <tableColumn id="8" name="IDs"/>
    <tableColumn id="9" name="Descripción U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earbyTable" displayName="NearbyTable" ref="A1:I404" headerRowCount="1" totalsRowCount="0" totalsRowShown="0">
  <tableColumns count="9">
    <tableColumn id="1" name="Desde ID"/>
    <tableColumn id="2" name="Hacia ID"/>
    <tableColumn id="3" name="Desde"/>
    <tableColumn id="4" name="Hacia"/>
    <tableColumn id="5" name="Distancia km"/>
    <tableColumn id="6" name="Min aprox."/>
    <tableColumn id="7" name="Modo"/>
    <tableColumn id="8" name="Relación"/>
    <tableColumn id="9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cursionsTable" displayName="ExcursionsTable" ref="A1:L32" headerRowCount="1" totalsRowCount="0" totalsRowShown="0">
  <tableColumns count="12">
    <tableColumn id="1" name="Base"/>
    <tableColumn id="2" name="Excursión"/>
    <tableColumn id="3" name="Prefectura"/>
    <tableColumn id="4" name="Traslado real aprox."/>
    <tableColumn id="5" name="Interés"/>
    <tableColumn id="6" name="Dificultad"/>
    <tableColumn id="7" name="¿Day trip?"/>
    <tableColumn id="8" name="¿Dormir?"/>
    <tableColumn id="9" name="Compite con"/>
    <tableColumn id="10" name="Grado"/>
    <tableColumn id="11" name="Dictamen"/>
    <tableColumn id="12" name="Fuen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iddenTable" displayName="HiddenTable" ref="A1:I121" headerRowCount="1" totalsRowCount="0" totalsRowShown="0">
  <tableColumns count="9">
    <tableColumn id="1" name="ID"/>
    <tableColumn id="2" name="Hub"/>
    <tableColumn id="3" name="Lugar"/>
    <tableColumn id="4" name="Hidden Gem Status"/>
    <tableColumn id="5" name="Alternativa a"/>
    <tableColumn id="6" name="Grado"/>
    <tableColumn id="7" name="Por qué"/>
    <tableColumn id="8" name="Aglomeración"/>
    <tableColumn id="9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arisonsTable" displayName="ComparisonsTable" ref="A1:E19" headerRowCount="1" totalsRowCount="0" totalsRowShown="0">
  <tableColumns count="5">
    <tableColumn id="1" name="Grupo redundante"/>
    <tableColumn id="2" name="Si solo uno"/>
    <tableColumn id="3" name="Comparados"/>
    <tableColumn id="4" name="Recomendación"/>
    <tableColumn id="5" name="Regla de redunda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ngesTable" displayName="ChangesTable" ref="A1:E19" headerRowCount="1" totalsRowCount="0" totalsRowShown="0">
  <tableColumns count="5">
    <tableColumn id="1" name="Hub"/>
    <tableColumn id="2" name="Lugar/sistema"/>
    <tableColumn id="3" name="Cambio verificado"/>
    <tableColumn id="4" name="Estado"/>
    <tableColumn id="5" name="Fu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ebMarTable" displayName="FebMarTable" ref="A1:F34" headerRowCount="1" totalsRowCount="0" totalsRowShown="0">
  <tableColumns count="6">
    <tableColumn id="1" name="Hub"/>
    <tableColumn id="2" name="Lugar / tema"/>
    <tableColumn id="3" name="Estado Feb–Mar 2027"/>
    <tableColumn id="4" name="Advertencia u oportunidad"/>
    <tableColumn id="5" name="Acción recomendada"/>
    <tableColumn id="6" name="Fuen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sTable" displayName="SourcesTable" ref="A1:F40" headerRowCount="1" totalsRowCount="0" totalsRowShown="0">
  <tableColumns count="6">
    <tableColumn id="1" name="Fuente ID"/>
    <tableColumn id="2" name="Nombre"/>
    <tableColumn id="3" name="Tipo"/>
    <tableColumn id="4" name="Cobertura"/>
    <tableColumn id="5" name="URL"/>
    <tableColumn id="6" name="Consulta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angelogV2Table" displayName="ChangelogV2Table" ref="A1:I85" headerRowCount="1" totalsRowCount="0" totalsRowShown="0">
  <autoFilter ref="A1:I85"/>
  <tableColumns count="9">
    <tableColumn id="1" name="ID"/>
    <tableColumn id="2" name="Entrada"/>
    <tableColumn id="3" name="Tipo de cambio"/>
    <tableColumn id="4" name="Valor anterior"/>
    <tableColumn id="5" name="Valor nuevo"/>
    <tableColumn id="6" name="Motivo"/>
    <tableColumn id="7" name="Fuente"/>
    <tableColumn id="8" name="Fecha"/>
    <tableColumn id="9" name="Estad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Pending2027Table" displayName="Pending2027Table" ref="A1:I23" headerRowCount="1" totalsRowCount="0" totalsRowShown="0">
  <autoFilter ref="A1:I23"/>
  <tableColumns count="9">
    <tableColumn id="1" name="ID"/>
    <tableColumn id="2" name="Entrada / tema"/>
    <tableColumn id="3" name="Categoría pendiente"/>
    <tableColumn id="4" name="Estado actual"/>
    <tableColumn id="5" name="Qué verificar"/>
    <tableColumn id="6" name="Cuándo revisar"/>
    <tableColumn id="7" name="Fuente"/>
    <tableColumn id="8" name="Prioridad"/>
    <tableColumn id="9" name="Est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uditDecisionsTable" displayName="AuditDecisionsTable" ref="A1:G27" headerRowCount="1" totalsRowCount="0" totalsRowShown="0">
  <autoFilter ref="A1:G27"/>
  <tableColumns count="7">
    <tableColumn id="1" name="Propuesta de la auditoría"/>
    <tableColumn id="2" name="Categoría"/>
    <tableColumn id="3" name="Decisión"/>
    <tableColumn id="4" name="Acción en v2"/>
    <tableColumn id="5" name="Motivo"/>
    <tableColumn id="6" name="Fuente"/>
    <tableColumn id="7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1" ht="34" customHeight="1">
      <c r="A1" s="22" t="inlineStr">
        <is>
          <t>NIHON — BASE MAESTRA v2 / JAPÓN 2027</t>
        </is>
      </c>
    </row>
    <row r="2" ht="30" customHeight="1">
      <c r="A2" s="25" t="inlineStr">
        <is>
          <t>Base normalizada y verificada al 2026-09-01; conserva alternativas y separa confirmados, patrones históricos y pendientes 2027.</t>
        </is>
      </c>
    </row>
    <row r="4">
      <c r="A4" s="43" t="inlineStr">
        <is>
          <t>Métrica</t>
        </is>
      </c>
      <c r="B4" s="44" t="inlineStr">
        <is>
          <t>Valor</t>
        </is>
      </c>
      <c r="C4" s="45" t="str"/>
      <c r="D4" s="43" t="inlineStr">
        <is>
          <t>Métrica</t>
        </is>
      </c>
      <c r="E4" s="44" t="inlineStr">
        <is>
          <t>Valor</t>
        </is>
      </c>
      <c r="F4" s="45" t="str"/>
      <c r="G4" s="43" t="inlineStr">
        <is>
          <t>Métrica</t>
        </is>
      </c>
      <c r="H4" s="44" t="inlineStr">
        <is>
          <t>Valor</t>
        </is>
      </c>
    </row>
    <row r="5">
      <c r="A5" s="36" t="inlineStr">
        <is>
          <t>Total de fichas</t>
        </is>
      </c>
      <c r="B5" s="46">
        <f>COUNTA('Lugares'!$A$2:$A$500)</f>
        <v/>
      </c>
      <c r="D5" s="36" t="inlineStr">
        <is>
          <t>Tokio</t>
        </is>
      </c>
      <c r="E5" s="48">
        <f>COUNTIF('Lugares'!$B$2:$B$500,"Tokio")</f>
        <v/>
      </c>
      <c r="G5" s="36" t="inlineStr">
        <is>
          <t>Saturación extrema</t>
        </is>
      </c>
      <c r="H5" s="50">
        <f>COUNTIF('Lugares'!$U$2:$U$500,"Extremo")</f>
        <v/>
      </c>
    </row>
    <row r="6">
      <c r="A6" s="36" t="inlineStr">
        <is>
          <t>Grado S</t>
        </is>
      </c>
      <c r="B6" s="46">
        <f>COUNTA(Lugares!A2:A500)</f>
        <v/>
      </c>
      <c r="D6" s="36" t="inlineStr">
        <is>
          <t>Kioto</t>
        </is>
      </c>
      <c r="E6" s="48">
        <f>COUNTIF('Lugares'!$B$2:$B$500,"Kioto")</f>
        <v/>
      </c>
      <c r="G6" s="36" t="inlineStr">
        <is>
          <t>Impacto visual 5</t>
        </is>
      </c>
      <c r="H6" s="50">
        <f>COUNTIF('Lugares'!$AM$2:$AM$500,5)</f>
        <v/>
      </c>
    </row>
    <row r="7">
      <c r="A7" s="36" t="inlineStr">
        <is>
          <t>Grado A</t>
        </is>
      </c>
      <c r="B7" s="46">
        <f>COUNTIF(Lugares!M2:M500,"S")</f>
        <v/>
      </c>
      <c r="D7" s="36" t="inlineStr">
        <is>
          <t>Osaka/Kansai</t>
        </is>
      </c>
      <c r="E7" s="48">
        <f>COUNTIF('Lugares'!$B$2:$B$500,"Osaka")</f>
        <v/>
      </c>
      <c r="G7" s="36" t="inlineStr">
        <is>
          <t>Naturaleza/mar</t>
        </is>
      </c>
      <c r="H7" s="50">
        <f>COUNTIF('Lugares'!$K$2:$K$500,"🌿 Naturaleza")+COUNTIF('Lugares'!$K$2:$K$500,"🌊 Playa/mar/islas")</f>
        <v/>
      </c>
    </row>
    <row r="8">
      <c r="A8" s="36" t="inlineStr">
        <is>
          <t>Hidden gems</t>
        </is>
      </c>
      <c r="B8" s="46">
        <f>COUNTIF(Lugares!M2:M500,"A")</f>
        <v/>
      </c>
      <c r="D8" s="36" t="inlineStr">
        <is>
          <t>Okinawa</t>
        </is>
      </c>
      <c r="E8" s="48">
        <f>COUNTIF('Lugares'!$B$2:$B$500,"Okinawa")</f>
        <v/>
      </c>
      <c r="G8" s="36" t="inlineStr">
        <is>
          <t>Gaming/anime</t>
        </is>
      </c>
      <c r="H8" s="50">
        <f>COUNTIF('Lugares'!$K$2:$K$500,"🎮 Videojuegos")+COUNTIF('Lugares'!$K$2:$K$500,"👾 Anime/manga")</f>
        <v/>
      </c>
    </row>
    <row r="9">
      <c r="A9" s="38" t="inlineStr">
        <is>
          <t>Requieren/recomiendan reserva</t>
        </is>
      </c>
      <c r="B9" s="47">
        <f>COUNTIF(Lugares!M2:M500,"B")</f>
        <v/>
      </c>
      <c r="D9" s="38" t="inlineStr">
        <is>
          <t>Clusters</t>
        </is>
      </c>
      <c r="E9" s="49">
        <f>COUNTA('Clusters'!$A$2:$A$200)</f>
        <v/>
      </c>
      <c r="G9" s="38" t="inlineStr">
        <is>
          <t>Cambios 2026 vigilados</t>
        </is>
      </c>
      <c r="H9" s="51">
        <f>COUNTA('Cambios 2026'!$A$2:$A$100)</f>
        <v/>
      </c>
    </row>
    <row r="10">
      <c r="B10">
        <f>COUNTIF(Lugares!M2:M500,"C")</f>
        <v/>
      </c>
    </row>
    <row r="11">
      <c r="B11">
        <f>COUNTIF(Lugares!M2:M500,"D")</f>
        <v/>
      </c>
    </row>
    <row r="12">
      <c r="A12" s="52" t="inlineStr">
        <is>
          <t>Cómo usar esta base</t>
        </is>
      </c>
    </row>
    <row r="13" ht="32" customHeight="1">
      <c r="A13" s="63" t="inlineStr">
        <is>
          <t>1</t>
        </is>
      </c>
      <c r="B13" s="64">
        <f>COUNTIF(Lugares!AS2:AS500,"Semi-hidden")</f>
        <v/>
      </c>
      <c r="C13" s="83" t="n"/>
      <c r="D13" s="83" t="n"/>
      <c r="E13" s="83" t="n"/>
      <c r="F13" s="83" t="n"/>
      <c r="G13" s="83" t="n"/>
      <c r="H13" s="84" t="n"/>
    </row>
    <row r="14" ht="32" customHeight="1">
      <c r="A14" s="66" t="inlineStr">
        <is>
          <t>2</t>
        </is>
      </c>
      <c r="B14" s="67" t="inlineStr">
        <is>
          <t>Consulta Clusters y Cercanos para la futura función ‘Si estás aquí…’.</t>
        </is>
      </c>
      <c r="C14" s="85" t="n"/>
      <c r="D14" s="85" t="n"/>
      <c r="E14" s="85" t="n"/>
      <c r="F14" s="85" t="n"/>
      <c r="G14" s="85" t="n"/>
      <c r="H14" s="86" t="n"/>
    </row>
    <row r="15" ht="32" customHeight="1">
      <c r="A15" s="66" t="inlineStr">
        <is>
          <t>3</t>
        </is>
      </c>
      <c r="B15" s="67" t="inlineStr">
        <is>
          <t>Hidden Gems distingue joya real, semi-hidden y alternativa.</t>
        </is>
      </c>
      <c r="C15" s="85" t="n"/>
      <c r="D15" s="85" t="n"/>
      <c r="E15" s="85" t="n"/>
      <c r="F15" s="85" t="n"/>
      <c r="G15" s="85" t="n"/>
      <c r="H15" s="86" t="n"/>
    </row>
    <row r="16" ht="32" customHeight="1">
      <c r="A16" s="66" t="inlineStr">
        <is>
          <t>4</t>
        </is>
      </c>
      <c r="B16" s="67" t="inlineStr">
        <is>
          <t>Comparativas evita duplicar miradores, mercados, teamLab, castillos u onsen.</t>
        </is>
      </c>
      <c r="C16" s="85" t="n"/>
      <c r="D16" s="85" t="n"/>
      <c r="E16" s="85" t="n"/>
      <c r="F16" s="85" t="n"/>
      <c r="G16" s="85" t="n"/>
      <c r="H16" s="86" t="n"/>
    </row>
    <row r="17" ht="32" customHeight="1">
      <c r="A17" s="66" t="inlineStr">
        <is>
          <t>5</t>
        </is>
      </c>
      <c r="B17" s="67" t="inlineStr">
        <is>
          <t>Feb-Mar 2027 reúne cierres, aperturas, riesgos invernales y oportunidades estacionales.</t>
        </is>
      </c>
      <c r="C17" s="85" t="n"/>
      <c r="D17" s="85" t="n"/>
      <c r="E17" s="85" t="n"/>
      <c r="F17" s="85" t="n"/>
      <c r="G17" s="85" t="n"/>
      <c r="H17" s="86" t="n"/>
    </row>
    <row r="18" ht="32" customHeight="1">
      <c r="A18" s="69" t="inlineStr">
        <is>
          <t>Nota</t>
        </is>
      </c>
      <c r="B18" s="70" t="inlineStr">
        <is>
          <t>Precios MXN usan 1 JPY = 0.1060 MXN (Banxico, 2026-09-01). Horarios y tarifas variables deben verificarse al fijar fechas.</t>
        </is>
      </c>
      <c r="C18" s="87" t="n"/>
      <c r="D18" s="87" t="n"/>
      <c r="E18" s="87" t="n"/>
      <c r="F18" s="87" t="n"/>
      <c r="G18" s="87" t="n"/>
      <c r="H18" s="88" t="n"/>
    </row>
  </sheetData>
  <mergeCells count="9">
    <mergeCell ref="A12:H12"/>
    <mergeCell ref="B14:H14"/>
    <mergeCell ref="B17:H17"/>
    <mergeCell ref="B18:H18"/>
    <mergeCell ref="B13:H13"/>
    <mergeCell ref="A2:H2"/>
    <mergeCell ref="B16:H16"/>
    <mergeCell ref="B15:H1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15"/>
  <sheetViews>
    <sheetView showGridLines="0" workbookViewId="0">
      <selection activeCell="A1" sqref="A1"/>
    </sheetView>
  </sheetViews>
  <sheetFormatPr baseColWidth="8" defaultRowHeight="15"/>
  <cols>
    <col width="4.78000020980835" customWidth="1" min="1" max="1"/>
    <col width="5.670000076293945" customWidth="1" min="2" max="2"/>
    <col width="7.21999979019165" customWidth="1" min="3" max="3"/>
    <col width="9.329999923706055" customWidth="1" min="4" max="4"/>
    <col width="9" customWidth="1" min="5" max="5"/>
    <col width="10.5600004196167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6.670000076293945" customWidth="1" min="13" max="13"/>
    <col width="28" customWidth="1" min="14" max="14"/>
    <col width="28" customWidth="1" min="15" max="15"/>
    <col width="28" customWidth="1" min="16" max="16"/>
    <col width="28" customWidth="1" min="17" max="17"/>
    <col width="15.22000026702881" customWidth="1" min="18" max="18"/>
    <col width="12.67000007629395" customWidth="1" min="19" max="19"/>
    <col width="28" customWidth="1" min="20" max="20"/>
    <col width="11.67000007629395" customWidth="1" min="21" max="21"/>
    <col width="13.32999992370605" customWidth="1" min="22" max="22"/>
    <col width="12.4399995803833" customWidth="1" min="23" max="23"/>
    <col width="12.77999973297119" customWidth="1" min="24" max="24"/>
    <col width="12.89000034332275" customWidth="1" min="25" max="25"/>
    <col width="13.22000026702881" customWidth="1" min="26" max="26"/>
    <col width="9.439999580383301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7.110000133514404" customWidth="1" min="33" max="33"/>
    <col width="8.439999580383301" customWidth="1" min="34" max="34"/>
    <col width="28" customWidth="1" min="35" max="35"/>
    <col width="28" customWidth="1" min="36" max="36"/>
    <col width="19.11000061035156" customWidth="1" min="37" max="37"/>
    <col width="28" customWidth="1" min="38" max="38"/>
    <col width="14.5600004196167" customWidth="1" min="39" max="39"/>
    <col width="13.10999965667725" customWidth="1" min="40" max="40"/>
    <col width="13.4399995803833" customWidth="1" min="41" max="41"/>
    <col width="10.5600004196167" customWidth="1" min="42" max="42"/>
    <col width="28" customWidth="1" min="43" max="43"/>
    <col width="28" customWidth="1" min="44" max="44"/>
    <col width="13.22000026702881" customWidth="1" min="45" max="45"/>
    <col width="28" customWidth="1" min="46" max="46"/>
    <col width="97.22000122070312" customWidth="1" min="47" max="47"/>
    <col width="10.22000026702881" customWidth="1" min="48" max="48"/>
    <col width="28" customWidth="1" min="49" max="49"/>
    <col width="28" customWidth="1" min="50" max="50"/>
    <col width="28" customWidth="1" min="51" max="51"/>
  </cols>
  <sheetData>
    <row r="1" ht="30" customHeight="1">
      <c r="A1" s="14" t="inlineStr">
        <is>
          <t>ID</t>
        </is>
      </c>
      <c r="B1" s="14" t="inlineStr">
        <is>
          <t>Hub</t>
        </is>
      </c>
      <c r="C1" s="14" t="inlineStr">
        <is>
          <t>Región</t>
        </is>
      </c>
      <c r="D1" s="14" t="inlineStr">
        <is>
          <t>Prefectura</t>
        </is>
      </c>
      <c r="E1" s="14" t="inlineStr">
        <is>
          <t>Municipio</t>
        </is>
      </c>
      <c r="F1" s="14" t="inlineStr">
        <is>
          <t>Zona/barrio</t>
        </is>
      </c>
      <c r="G1" s="14" t="inlineStr">
        <is>
          <t>Cluster</t>
        </is>
      </c>
      <c r="H1" s="14" t="inlineStr">
        <is>
          <t>Nombre oficial</t>
        </is>
      </c>
      <c r="I1" s="14" t="inlineStr">
        <is>
          <t>Nombre japonés</t>
        </is>
      </c>
      <c r="J1" s="14" t="inlineStr">
        <is>
          <t>Título mapa</t>
        </is>
      </c>
      <c r="K1" s="14" t="inlineStr">
        <is>
          <t>Categoría</t>
        </is>
      </c>
      <c r="L1" s="14" t="inlineStr">
        <is>
          <t>Tipo</t>
        </is>
      </c>
      <c r="M1" s="14" t="inlineStr">
        <is>
          <t>Grado</t>
        </is>
      </c>
      <c r="N1" s="14" t="inlineStr">
        <is>
          <t>Razón del grado</t>
        </is>
      </c>
      <c r="O1" s="14" t="inlineStr">
        <is>
          <t>Descripción corta</t>
        </is>
      </c>
      <c r="P1" s="14" t="inlineStr">
        <is>
          <t>Qué lo hace diferente</t>
        </is>
      </c>
      <c r="Q1" s="14" t="inlineStr">
        <is>
          <t>Qué se hace/ve</t>
        </is>
      </c>
      <c r="R1" s="14" t="inlineStr">
        <is>
          <t>Duración</t>
        </is>
      </c>
      <c r="S1" s="14" t="inlineStr">
        <is>
          <t>Mejor momento</t>
        </is>
      </c>
      <c r="T1" s="14" t="inlineStr">
        <is>
          <t>Mejor época</t>
        </is>
      </c>
      <c r="U1" s="14" t="inlineStr">
        <is>
          <t>Aglomeración</t>
        </is>
      </c>
      <c r="V1" s="14" t="inlineStr">
        <is>
          <t>Qué tan turístico</t>
        </is>
      </c>
      <c r="W1" s="14" t="inlineStr">
        <is>
          <t>Precio JPY mín</t>
        </is>
      </c>
      <c r="X1" s="14" t="inlineStr">
        <is>
          <t>Precio JPY máx</t>
        </is>
      </c>
      <c r="Y1" s="14" t="inlineStr">
        <is>
          <t>Precio MXN mín</t>
        </is>
      </c>
      <c r="Z1" s="14" t="inlineStr">
        <is>
          <t>Precio MXN máx</t>
        </is>
      </c>
      <c r="AA1" s="14" t="inlineStr">
        <is>
          <t>Reserva</t>
        </is>
      </c>
      <c r="AB1" s="14" t="inlineStr">
        <is>
          <t>Anticipación</t>
        </is>
      </c>
      <c r="AC1" s="14" t="inlineStr">
        <is>
          <t>Horario</t>
        </is>
      </c>
      <c r="AD1" s="14" t="inlineStr">
        <is>
          <t>Días de cierre</t>
        </is>
      </c>
      <c r="AE1" s="14" t="inlineStr">
        <is>
          <t>Estación/transporte útil</t>
        </is>
      </c>
      <c r="AF1" s="14" t="inlineStr">
        <is>
          <t>Accesibilidad aproximada</t>
        </is>
      </c>
      <c r="AG1" s="14" t="inlineStr">
        <is>
          <t>Latitud</t>
        </is>
      </c>
      <c r="AH1" s="14" t="inlineStr">
        <is>
          <t>Longitud</t>
        </is>
      </c>
      <c r="AI1" s="14" t="inlineStr">
        <is>
          <t>Página oficial/fuente</t>
        </is>
      </c>
      <c r="AJ1" s="14" t="inlineStr">
        <is>
          <t>Estado de información</t>
        </is>
      </c>
      <c r="AK1" s="14" t="inlineStr">
        <is>
          <t>Etiqueta</t>
        </is>
      </c>
      <c r="AL1" s="14" t="inlineStr">
        <is>
          <t>Ideal para</t>
        </is>
      </c>
      <c r="AM1" s="14" t="inlineStr">
        <is>
          <t>Impacto visual 1–5</t>
        </is>
      </c>
      <c r="AN1" s="14" t="inlineStr">
        <is>
          <t>Originalidad 1–5</t>
        </is>
      </c>
      <c r="AO1" s="14" t="inlineStr">
        <is>
          <t>Valor/tiempo 1–5</t>
        </is>
      </c>
      <c r="AP1" s="14" t="inlineStr">
        <is>
          <t>Turismo 1–5</t>
        </is>
      </c>
      <c r="AQ1" s="14" t="inlineStr">
        <is>
          <t>Imagen recomendada</t>
        </is>
      </c>
      <c r="AR1" s="14" t="inlineStr">
        <is>
          <t>Si estás aquí...</t>
        </is>
      </c>
      <c r="AS1" s="14" t="inlineStr">
        <is>
          <t>Hidden Gem Status</t>
        </is>
      </c>
      <c r="AT1" s="14" t="inlineStr">
        <is>
          <t>Alternativa a</t>
        </is>
      </c>
      <c r="AU1" s="14" t="inlineStr">
        <is>
          <t>Google Maps</t>
        </is>
      </c>
      <c r="AV1" s="14" t="inlineStr">
        <is>
          <t>Actualizado</t>
        </is>
      </c>
      <c r="AW1" s="14" t="inlineStr">
        <is>
          <t>Estado Feb–Mar 2027</t>
        </is>
      </c>
      <c r="AX1" s="14" t="inlineStr">
        <is>
          <t>Advertencia / oportunidad Feb–Mar 2027</t>
        </is>
      </c>
      <c r="AY1" s="14" t="inlineStr">
        <is>
          <t>Acción recomendada Feb–Mar 2027</t>
        </is>
      </c>
    </row>
    <row r="2" ht="66" customHeight="1">
      <c r="A2" s="16" t="inlineStr">
        <is>
          <t>JP-001</t>
        </is>
      </c>
      <c r="B2" s="16" t="inlineStr">
        <is>
          <t>Tokio</t>
        </is>
      </c>
      <c r="C2" s="16" t="inlineStr">
        <is>
          <t>Kanto</t>
        </is>
      </c>
      <c r="D2" s="16" t="inlineStr">
        <is>
          <t>Tokio</t>
        </is>
      </c>
      <c r="E2" s="16" t="inlineStr">
        <is>
          <t>Shibuya</t>
        </is>
      </c>
      <c r="F2" s="16" t="inlineStr">
        <is>
          <t>Shibuya</t>
        </is>
      </c>
      <c r="G2" s="16" t="inlineStr">
        <is>
          <t>Shibuya</t>
        </is>
      </c>
      <c r="H2" s="16" t="inlineStr">
        <is>
          <t>Shibuya Crossing</t>
        </is>
      </c>
      <c r="I2" s="16" t="inlineStr">
        <is>
          <t>渋谷スクランブル交差点</t>
        </is>
      </c>
      <c r="J2" s="16" t="inlineStr">
        <is>
          <t>Shibuya Crossing</t>
        </is>
      </c>
      <c r="K2" s="16" t="inlineStr">
        <is>
          <t>🏙️ Ciudad y barrios</t>
        </is>
      </c>
      <c r="L2" s="16" t="inlineStr">
        <is>
          <t>cruce urbano</t>
        </is>
      </c>
      <c r="M2" s="16" t="inlineStr">
        <is>
          <t>A</t>
        </is>
      </c>
      <c r="N2" s="16" t="inlineStr">
        <is>
          <t>Icono urbano único, pero la experiencia es breve y muy saturada.</t>
        </is>
      </c>
      <c r="O2" s="16" t="inlineStr">
        <is>
          <t>Cruce peatonal masivo rodeado de pantallas y flujo humano.</t>
        </is>
      </c>
      <c r="P2" s="16" t="inlineStr">
        <is>
          <t>El movimiento colectivo, más que un monumento, es la atracción.</t>
        </is>
      </c>
      <c r="Q2" s="16" t="inlineStr">
        <is>
          <t>Cruce peatonal masivo rodeado de pantallas y flujo humano.</t>
        </is>
      </c>
      <c r="R2" s="16" t="inlineStr">
        <is>
          <t>20–40 min</t>
        </is>
      </c>
      <c r="S2" s="16" t="inlineStr">
        <is>
          <t>Noche</t>
        </is>
      </c>
      <c r="T2" s="16" t="inlineStr">
        <is>
          <t>Todo el año</t>
        </is>
      </c>
      <c r="U2" s="16" t="inlineStr">
        <is>
          <t>Extremo</t>
        </is>
      </c>
      <c r="V2" s="16" t="inlineStr">
        <is>
          <t>Extremo</t>
        </is>
      </c>
      <c r="W2" s="89" t="n">
        <v>0</v>
      </c>
      <c r="X2" s="89" t="n">
        <v>0</v>
      </c>
      <c r="Y2" s="89">
        <f>W2*'Configuración'!$B$4</f>
        <v/>
      </c>
      <c r="Z2" s="89">
        <f>X2*'Configuración'!$B$4</f>
        <v/>
      </c>
      <c r="AA2" s="16" t="inlineStr">
        <is>
          <t>No</t>
        </is>
      </c>
      <c r="AB2" s="16" t="inlineStr">
        <is>
          <t>—</t>
        </is>
      </c>
      <c r="AC2" s="16" t="inlineStr">
        <is>
          <t>Espacio público 24 h</t>
        </is>
      </c>
      <c r="AD2" s="16" t="inlineStr">
        <is>
          <t>Sin cierre</t>
        </is>
      </c>
      <c r="AE2" s="16" t="inlineStr">
        <is>
          <t>JR/Metro Shibuya; salida Hachikō</t>
        </is>
      </c>
      <c r="AF2" s="16" t="inlineStr">
        <is>
          <t>Buena en áreas principales; confirmar detalles con el recinto</t>
        </is>
      </c>
      <c r="AG2" s="90" t="n">
        <v>35.6595</v>
      </c>
      <c r="AH2" s="90" t="n">
        <v>139.7005</v>
      </c>
      <c r="AI2" s="16" t="inlineStr">
        <is>
          <t>https://www.gotokyo.org/en/index.html</t>
        </is>
      </c>
      <c r="AJ2" s="16" t="inlineStr">
        <is>
          <t>Cambiante</t>
        </is>
      </c>
      <c r="AK2" s="16" t="inlineStr">
        <is>
          <t>MUST SEE</t>
        </is>
      </c>
      <c r="AL2" s="16" t="inlineStr">
        <is>
          <t>pareja, fotografía, ciudad, noche</t>
        </is>
      </c>
      <c r="AM2" s="91" t="n">
        <v>5</v>
      </c>
      <c r="AN2" s="91" t="n">
        <v>3</v>
      </c>
      <c r="AO2" s="91" t="n">
        <v>4</v>
      </c>
      <c r="AP2" s="91" t="n">
        <v>5</v>
      </c>
      <c r="AQ2" s="16" t="inlineStr">
        <is>
          <t>Imagen ideal: el movimiento colectivo, más que un monumento, es la atracción. con luz de noche, sin multitudes dominando el encuadre.</t>
        </is>
      </c>
      <c r="AR2" s="16" t="inlineStr">
        <is>
          <t>SHIBUYA SKY (~3 min a pie) | Shibuya PARCO + Nintendo TOKYO (~4 min a pie) | Cat Street (~14 min a pie)</t>
        </is>
      </c>
      <c r="AS2" s="16" t="inlineStr">
        <is>
          <t>Popular / turístico</t>
        </is>
      </c>
      <c r="AT2" s="16" t="str"/>
      <c r="AU2" s="16" t="inlineStr">
        <is>
          <t>https://www.google.com/maps/search/?api=1&amp;query=Shibuya%20Crossing%2C%20Shibuya%2C%20Japan</t>
        </is>
      </c>
      <c r="AV2" s="16" t="inlineStr">
        <is>
          <t>2026-09-01</t>
        </is>
      </c>
      <c r="AW2" s="16" t="inlineStr">
        <is>
          <t>CALENDARIO / CONDICIÓN PENDIENTE</t>
        </is>
      </c>
      <c r="AX2" s="16" t="inlineStr">
        <is>
          <t>No hay cierre específico confirmado para la ventana, pero horarios o acceso pueden variar.</t>
        </is>
      </c>
      <c r="AY2" s="16" t="inlineStr">
        <is>
          <t>Reconfirmar en la web oficial al fijar fechas.</t>
        </is>
      </c>
    </row>
    <row r="3" ht="66" customHeight="1">
      <c r="A3" s="16" t="inlineStr">
        <is>
          <t>JP-002</t>
        </is>
      </c>
      <c r="B3" s="16" t="inlineStr">
        <is>
          <t>Tokio</t>
        </is>
      </c>
      <c r="C3" s="16" t="inlineStr">
        <is>
          <t>Kanto</t>
        </is>
      </c>
      <c r="D3" s="16" t="inlineStr">
        <is>
          <t>Tokio</t>
        </is>
      </c>
      <c r="E3" s="16" t="inlineStr">
        <is>
          <t>Shibuya</t>
        </is>
      </c>
      <c r="F3" s="16" t="inlineStr">
        <is>
          <t>Shibuya</t>
        </is>
      </c>
      <c r="G3" s="16" t="inlineStr">
        <is>
          <t>Shibuya</t>
        </is>
      </c>
      <c r="H3" s="16" t="inlineStr">
        <is>
          <t>SHIBUYA SKY</t>
        </is>
      </c>
      <c r="I3" s="16" t="inlineStr">
        <is>
          <t>渋谷スカイ</t>
        </is>
      </c>
      <c r="J3" s="16" t="inlineStr">
        <is>
          <t>SHIBUYA SKY</t>
        </is>
      </c>
      <c r="K3" s="16" t="inlineStr">
        <is>
          <t>🌅 Miradores</t>
        </is>
      </c>
      <c r="L3" s="16" t="inlineStr">
        <is>
          <t>mirador</t>
        </is>
      </c>
      <c r="M3" s="16" t="inlineStr">
        <is>
          <t>A</t>
        </is>
      </c>
      <c r="N3" s="16" t="inlineStr">
        <is>
          <t>La vista abierta y la posición sobre Shibuya justifican reservarlo. Clasificación v2: excelente y muy recomendable, pero no justifica por sí sola adaptar la ruta.</t>
        </is>
      </c>
      <c r="O3" s="16" t="inlineStr">
        <is>
          <t>Observatorio interior y azotea a 229 m sobre el cruce.</t>
        </is>
      </c>
      <c r="P3" s="16" t="inlineStr">
        <is>
          <t>La cubierta al aire libre produce una sensación más intensa que otros miradores.</t>
        </is>
      </c>
      <c r="Q3" s="16" t="inlineStr">
        <is>
          <t>Observatorio interior y azotea a 229 m sobre el cruce.</t>
        </is>
      </c>
      <c r="R3" s="16" t="inlineStr">
        <is>
          <t>1–2 h</t>
        </is>
      </c>
      <c r="S3" s="16" t="inlineStr">
        <is>
          <t>Atardecer</t>
        </is>
      </c>
      <c r="T3" s="16" t="inlineStr">
        <is>
          <t>Todo el año; mejor visibilidad en invierno</t>
        </is>
      </c>
      <c r="U3" s="16" t="inlineStr">
        <is>
          <t>Extremo</t>
        </is>
      </c>
      <c r="V3" s="16" t="inlineStr">
        <is>
          <t>Extremo</t>
        </is>
      </c>
      <c r="W3" s="89" t="n">
        <v>2200</v>
      </c>
      <c r="X3" s="89" t="n">
        <v>3400</v>
      </c>
      <c r="Y3" s="89">
        <f>W3*'Configuración'!$B$4</f>
        <v/>
      </c>
      <c r="Z3" s="89">
        <f>X3*'Configuración'!$B$4</f>
        <v/>
      </c>
      <c r="AA3" s="16" t="inlineStr">
        <is>
          <t>Sí</t>
        </is>
      </c>
      <c r="AB3" s="16" t="inlineStr">
        <is>
          <t>2–4 semanas; atardecer antes</t>
        </is>
      </c>
      <c r="AC3" s="16" t="inlineStr">
        <is>
          <t>Variable por fecha</t>
        </is>
      </c>
      <c r="AD3" s="16" t="inlineStr">
        <is>
          <t>Cierres meteorológicos de azotea</t>
        </is>
      </c>
      <c r="AE3" s="16" t="inlineStr">
        <is>
          <t>JR/Metro Shibuya, acceso directo</t>
        </is>
      </c>
      <c r="AF3" s="16" t="inlineStr">
        <is>
          <t>Buena en áreas principales; confirmar detalles con el recinto</t>
        </is>
      </c>
      <c r="AG3" s="90" t="n">
        <v>35.6585</v>
      </c>
      <c r="AH3" s="90" t="n">
        <v>139.7022</v>
      </c>
      <c r="AI3" s="16" t="inlineStr">
        <is>
          <t>https://www.shibuya-scramble-square.com/sky/ticket/en/</t>
        </is>
      </c>
      <c r="AJ3" s="16" t="inlineStr">
        <is>
          <t>Cambiante</t>
        </is>
      </c>
      <c r="AK3" s="16" t="inlineStr">
        <is>
          <t>MUST SEE</t>
        </is>
      </c>
      <c r="AL3" s="16" t="inlineStr">
        <is>
          <t>pareja, fotografía, arquitectura, noche</t>
        </is>
      </c>
      <c r="AM3" s="91" t="n">
        <v>5</v>
      </c>
      <c r="AN3" s="91" t="n">
        <v>4</v>
      </c>
      <c r="AO3" s="91" t="n">
        <v>4</v>
      </c>
      <c r="AP3" s="91" t="n">
        <v>5</v>
      </c>
      <c r="AQ3" s="16" t="inlineStr">
        <is>
          <t>Imagen ideal: la cubierta al aire libre produce una sensación más intensa que otros miradores. con luz de atardecer, sin multitudes dominando el encuadre.</t>
        </is>
      </c>
      <c r="AR3" s="16" t="inlineStr">
        <is>
          <t>Shibuya Crossing (~3 min a pie) | Shibuya PARCO + Nintendo TOKYO (~7 min a pie) | Cat Street (~13 min a pie)</t>
        </is>
      </c>
      <c r="AS3" s="16" t="inlineStr">
        <is>
          <t>Popular / turístico</t>
        </is>
      </c>
      <c r="AT3" s="16" t="str"/>
      <c r="AU3" s="16" t="inlineStr">
        <is>
          <t>https://www.google.com/maps/search/?api=1&amp;query=SHIBUYA%20SKY%2C%20Shibuya%2C%20Japan</t>
        </is>
      </c>
      <c r="AV3" s="16" t="inlineStr">
        <is>
          <t>2026-09-01</t>
        </is>
      </c>
      <c r="AW3" s="16" t="inlineStr">
        <is>
          <t>CALENDARIO / CONDICIÓN PENDIENTE</t>
        </is>
      </c>
      <c r="AX3" s="16" t="inlineStr">
        <is>
          <t>No hay cierre específico confirmado para la ventana, pero horarios o acceso pueden variar.</t>
        </is>
      </c>
      <c r="AY3" s="16" t="inlineStr">
        <is>
          <t>Reconfirmar en la web oficial al fijar fechas.</t>
        </is>
      </c>
    </row>
    <row r="4" ht="66" customHeight="1">
      <c r="A4" s="16" t="inlineStr">
        <is>
          <t>JP-003</t>
        </is>
      </c>
      <c r="B4" s="16" t="inlineStr">
        <is>
          <t>Tokio</t>
        </is>
      </c>
      <c r="C4" s="16" t="inlineStr">
        <is>
          <t>Kanto</t>
        </is>
      </c>
      <c r="D4" s="16" t="inlineStr">
        <is>
          <t>Tokio</t>
        </is>
      </c>
      <c r="E4" s="16" t="inlineStr">
        <is>
          <t>Shibuya</t>
        </is>
      </c>
      <c r="F4" s="16" t="inlineStr">
        <is>
          <t>Harajuku</t>
        </is>
      </c>
      <c r="G4" s="16" t="inlineStr">
        <is>
          <t>Harajuku–Meiji</t>
        </is>
      </c>
      <c r="H4" s="16" t="inlineStr">
        <is>
          <t>Meiji Jingu</t>
        </is>
      </c>
      <c r="I4" s="16" t="inlineStr">
        <is>
          <t>明治神宮</t>
        </is>
      </c>
      <c r="J4" s="16" t="inlineStr">
        <is>
          <t>Meiji Jingu</t>
        </is>
      </c>
      <c r="K4" s="16" t="inlineStr">
        <is>
          <t>⛩️ Templos y santuarios</t>
        </is>
      </c>
      <c r="L4" s="16" t="inlineStr">
        <is>
          <t>santuario</t>
        </is>
      </c>
      <c r="M4" s="16" t="inlineStr">
        <is>
          <t>A</t>
        </is>
      </c>
      <c r="N4" s="16" t="inlineStr">
        <is>
          <t>El bosque y la escala ceremonial ofrecen un contraste esencial con Tokio. Clasificación v2: excelente y muy recomendable, pero no justifica por sí sola adaptar la ruta.</t>
        </is>
      </c>
      <c r="O4" s="16" t="inlineStr">
        <is>
          <t>Gran santuario sintoísta dentro de un bosque urbano denso.</t>
        </is>
      </c>
      <c r="P4" s="16" t="inlineStr">
        <is>
          <t>La transición inmediata del ruido de Harajuku al silencio forestal.</t>
        </is>
      </c>
      <c r="Q4" s="16" t="inlineStr">
        <is>
          <t>Gran santuario sintoísta dentro de un bosque urbano denso.</t>
        </is>
      </c>
      <c r="R4" s="16" t="inlineStr">
        <is>
          <t>1–2 h</t>
        </is>
      </c>
      <c r="S4" s="16" t="inlineStr">
        <is>
          <t>Mañana</t>
        </is>
      </c>
      <c r="T4" s="16" t="inlineStr">
        <is>
          <t>Todo el año</t>
        </is>
      </c>
      <c r="U4" s="16" t="inlineStr">
        <is>
          <t>Alto</t>
        </is>
      </c>
      <c r="V4" s="16" t="inlineStr">
        <is>
          <t>Alto</t>
        </is>
      </c>
      <c r="W4" s="89" t="n">
        <v>0</v>
      </c>
      <c r="X4" s="89" t="n">
        <v>0</v>
      </c>
      <c r="Y4" s="89">
        <f>W4*'Configuración'!$B$4</f>
        <v/>
      </c>
      <c r="Z4" s="89">
        <f>X4*'Configuración'!$B$4</f>
        <v/>
      </c>
      <c r="AA4" s="16" t="inlineStr">
        <is>
          <t>No</t>
        </is>
      </c>
      <c r="AB4" s="16" t="inlineStr">
        <is>
          <t>—</t>
        </is>
      </c>
      <c r="AC4" s="16" t="inlineStr">
        <is>
          <t>Amanecer–atardecer; varía por mes</t>
        </is>
      </c>
      <c r="AD4" s="16" t="inlineStr">
        <is>
          <t>Sin cierre ordinario</t>
        </is>
      </c>
      <c r="AE4" s="16" t="inlineStr">
        <is>
          <t>JR Harajuku / Metro Meiji-jingumae</t>
        </is>
      </c>
      <c r="AF4" s="16" t="inlineStr">
        <is>
          <t>Parcial; pueden existir escalones, grava o edificios sin elevador</t>
        </is>
      </c>
      <c r="AG4" s="90" t="n">
        <v>35.6764</v>
      </c>
      <c r="AH4" s="90" t="n">
        <v>139.6993</v>
      </c>
      <c r="AI4" s="16" t="inlineStr">
        <is>
          <t>https://www.meijijingu.or.jp/en/</t>
        </is>
      </c>
      <c r="AJ4" s="16" t="inlineStr">
        <is>
          <t>Cambiante</t>
        </is>
      </c>
      <c r="AK4" s="16" t="inlineStr">
        <is>
          <t>MUST SEE</t>
        </is>
      </c>
      <c r="AL4" s="16" t="inlineStr">
        <is>
          <t>pareja, cultura, naturaleza, fotografía</t>
        </is>
      </c>
      <c r="AM4" s="91" t="n">
        <v>4</v>
      </c>
      <c r="AN4" s="91" t="n">
        <v>4</v>
      </c>
      <c r="AO4" s="91" t="n">
        <v>5</v>
      </c>
      <c r="AP4" s="91" t="n">
        <v>4</v>
      </c>
      <c r="AQ4" s="16" t="inlineStr">
        <is>
          <t>Imagen ideal: la transición inmediata del ruido de harajuku al silencio forestal. con luz de mañana, sin multitudes dominando el encuadre.</t>
        </is>
      </c>
      <c r="AR4" s="16" t="inlineStr">
        <is>
          <t>Takeshita Street (~9 min a pie) | Ota Memorial Museum of Art (~12 min a pie) | Shinjuku Gyoen National Garden (~19 min a pie)</t>
        </is>
      </c>
      <c r="AS4" s="16" t="inlineStr">
        <is>
          <t>Popular / turístico</t>
        </is>
      </c>
      <c r="AT4" s="16" t="str"/>
      <c r="AU4" s="16" t="inlineStr">
        <is>
          <t>https://www.google.com/maps/search/?api=1&amp;query=Meiji%20Jingu%2C%20Shibuya%2C%20Japan</t>
        </is>
      </c>
      <c r="AV4" s="16" t="inlineStr">
        <is>
          <t>2026-09-01</t>
        </is>
      </c>
      <c r="AW4" s="16" t="inlineStr">
        <is>
          <t>CALENDARIO / CONDICIÓN PENDIENTE</t>
        </is>
      </c>
      <c r="AX4" s="16" t="inlineStr">
        <is>
          <t>No hay cierre específico confirmado para la ventana, pero horarios o acceso pueden variar.</t>
        </is>
      </c>
      <c r="AY4" s="16" t="inlineStr">
        <is>
          <t>Reconfirmar en la web oficial al fijar fechas.</t>
        </is>
      </c>
    </row>
    <row r="5" ht="66" customHeight="1">
      <c r="A5" s="16" t="inlineStr">
        <is>
          <t>JP-004</t>
        </is>
      </c>
      <c r="B5" s="16" t="inlineStr">
        <is>
          <t>Tokio</t>
        </is>
      </c>
      <c r="C5" s="16" t="inlineStr">
        <is>
          <t>Kanto</t>
        </is>
      </c>
      <c r="D5" s="16" t="inlineStr">
        <is>
          <t>Tokio</t>
        </is>
      </c>
      <c r="E5" s="16" t="inlineStr">
        <is>
          <t>Shibuya</t>
        </is>
      </c>
      <c r="F5" s="16" t="inlineStr">
        <is>
          <t>Harajuku</t>
        </is>
      </c>
      <c r="G5" s="16" t="inlineStr">
        <is>
          <t>Harajuku–Meiji</t>
        </is>
      </c>
      <c r="H5" s="16" t="inlineStr">
        <is>
          <t>Takeshita Street</t>
        </is>
      </c>
      <c r="I5" s="16" t="inlineStr">
        <is>
          <t>竹下通り</t>
        </is>
      </c>
      <c r="J5" s="16" t="inlineStr">
        <is>
          <t>Takeshita Street</t>
        </is>
      </c>
      <c r="K5" s="16" t="inlineStr">
        <is>
          <t>🛍️ Compras</t>
        </is>
      </c>
      <c r="L5" s="16" t="inlineStr">
        <is>
          <t>calle comercial</t>
        </is>
      </c>
      <c r="M5" s="16" t="inlineStr">
        <is>
          <t>C</t>
        </is>
      </c>
      <c r="N5" s="16" t="inlineStr">
        <is>
          <t>Es famosa, pero las multitudes y tiendas repetitivas reducen el valor.</t>
        </is>
      </c>
      <c r="O5" s="16" t="inlineStr">
        <is>
          <t>Eje juvenil de moda, dulces y souvenirs.</t>
        </is>
      </c>
      <c r="P5" s="16" t="inlineStr">
        <is>
          <t>Concentra la estética kawaii más comercial en pocos cientos de metros.</t>
        </is>
      </c>
      <c r="Q5" s="16" t="inlineStr">
        <is>
          <t>Eje juvenil de moda, dulces y souvenirs.</t>
        </is>
      </c>
      <c r="R5" s="16" t="inlineStr">
        <is>
          <t>30–60 min</t>
        </is>
      </c>
      <c r="S5" s="16" t="inlineStr">
        <is>
          <t>Mañana</t>
        </is>
      </c>
      <c r="T5" s="16" t="inlineStr">
        <is>
          <t>Todo el año</t>
        </is>
      </c>
      <c r="U5" s="16" t="inlineStr">
        <is>
          <t>Extremo</t>
        </is>
      </c>
      <c r="V5" s="16" t="inlineStr">
        <is>
          <t>Extremo</t>
        </is>
      </c>
      <c r="W5" s="89" t="n">
        <v>0</v>
      </c>
      <c r="X5" s="89" t="n">
        <v>0</v>
      </c>
      <c r="Y5" s="89">
        <f>W5*'Configuración'!$B$4</f>
        <v/>
      </c>
      <c r="Z5" s="89">
        <f>X5*'Configuración'!$B$4</f>
        <v/>
      </c>
      <c r="AA5" s="16" t="inlineStr">
        <is>
          <t>No</t>
        </is>
      </c>
      <c r="AB5" s="16" t="inlineStr">
        <is>
          <t>—</t>
        </is>
      </c>
      <c r="AC5" s="16" t="inlineStr">
        <is>
          <t>Tiendas aprox. 10:00–20:00</t>
        </is>
      </c>
      <c r="AD5" s="16" t="inlineStr">
        <is>
          <t>Según comercio</t>
        </is>
      </c>
      <c r="AE5" s="16" t="inlineStr">
        <is>
          <t>JR Harajuku, salida Takeshita</t>
        </is>
      </c>
      <c r="AF5" s="16" t="inlineStr">
        <is>
          <t>Buena en áreas principales; confirmar detalles con el recinto</t>
        </is>
      </c>
      <c r="AG5" s="90" t="n">
        <v>35.6715</v>
      </c>
      <c r="AH5" s="90" t="n">
        <v>139.703</v>
      </c>
      <c r="AI5" s="16" t="inlineStr">
        <is>
          <t>https://www.gotokyo.org/en/index.html</t>
        </is>
      </c>
      <c r="AJ5" s="16" t="inlineStr">
        <is>
          <t>Cambiante</t>
        </is>
      </c>
      <c r="AK5" s="16" t="inlineStr">
        <is>
          <t>VIRAL / OPTIONAL</t>
        </is>
      </c>
      <c r="AL5" s="16" t="inlineStr">
        <is>
          <t>compras, cultura pop, fotografía</t>
        </is>
      </c>
      <c r="AM5" s="91" t="n">
        <v>4</v>
      </c>
      <c r="AN5" s="91" t="n">
        <v>2</v>
      </c>
      <c r="AO5" s="91" t="n">
        <v>2</v>
      </c>
      <c r="AP5" s="91" t="n">
        <v>5</v>
      </c>
      <c r="AQ5" s="16" t="inlineStr">
        <is>
          <t>Imagen ideal: concentra la estética kawaii más comercial en pocos cientos de metros. con luz de mañana, sin multitudes dominando el encuadre.</t>
        </is>
      </c>
      <c r="AR5" s="16" t="inlineStr">
        <is>
          <t>Ota Memorial Museum of Art (~3 min a pie) | Meiji Jingu (~9 min a pie) | Cat Street (~12 min a pie)</t>
        </is>
      </c>
      <c r="AS5" s="16" t="inlineStr">
        <is>
          <t>Alternativa menos saturada</t>
        </is>
      </c>
      <c r="AT5" s="16" t="inlineStr">
        <is>
          <t>Cat Street / Koenji</t>
        </is>
      </c>
      <c r="AU5" s="16" t="inlineStr">
        <is>
          <t>https://www.google.com/maps/search/?api=1&amp;query=Takeshita%20Street%2C%20Shibuya%2C%20Japan</t>
        </is>
      </c>
      <c r="AV5" s="16" t="inlineStr">
        <is>
          <t>2026-09-01</t>
        </is>
      </c>
      <c r="AW5" s="16" t="inlineStr">
        <is>
          <t>CALENDARIO / CONDICIÓN PENDIENTE</t>
        </is>
      </c>
      <c r="AX5" s="16" t="inlineStr">
        <is>
          <t>No hay cierre específico confirmado para la ventana, pero horarios o acceso pueden variar.</t>
        </is>
      </c>
      <c r="AY5" s="16" t="inlineStr">
        <is>
          <t>Reconfirmar en la web oficial al fijar fechas.</t>
        </is>
      </c>
    </row>
    <row r="6" ht="66" customHeight="1">
      <c r="A6" s="16" t="inlineStr">
        <is>
          <t>JP-005</t>
        </is>
      </c>
      <c r="B6" s="16" t="inlineStr">
        <is>
          <t>Tokio</t>
        </is>
      </c>
      <c r="C6" s="16" t="inlineStr">
        <is>
          <t>Kanto</t>
        </is>
      </c>
      <c r="D6" s="16" t="inlineStr">
        <is>
          <t>Tokio</t>
        </is>
      </c>
      <c r="E6" s="16" t="inlineStr">
        <is>
          <t>Shibuya</t>
        </is>
      </c>
      <c r="F6" s="16" t="inlineStr">
        <is>
          <t>Jingumae</t>
        </is>
      </c>
      <c r="G6" s="16" t="inlineStr">
        <is>
          <t>Harajuku–Meiji</t>
        </is>
      </c>
      <c r="H6" s="16" t="inlineStr">
        <is>
          <t>Cat Street</t>
        </is>
      </c>
      <c r="I6" s="16" t="inlineStr">
        <is>
          <t>キャットストリート</t>
        </is>
      </c>
      <c r="J6" s="16" t="inlineStr">
        <is>
          <t>Cat Street</t>
        </is>
      </c>
      <c r="K6" s="16" t="inlineStr">
        <is>
          <t>🏙️ Ciudad y barrios</t>
        </is>
      </c>
      <c r="L6" s="16" t="inlineStr">
        <is>
          <t>calle/barrio</t>
        </is>
      </c>
      <c r="M6" s="16" t="inlineStr">
        <is>
          <t>A</t>
        </is>
      </c>
      <c r="N6" s="16" t="inlineStr">
        <is>
          <t>Mejor paseo de moda urbana que Takeshita si se busca diseño y ambiente.</t>
        </is>
      </c>
      <c r="O6" s="16" t="inlineStr">
        <is>
          <t>Calle peatonal y callejones entre Harajuku y Shibuya.</t>
        </is>
      </c>
      <c r="P6" s="16" t="inlineStr">
        <is>
          <t>Boutiques, arquitectura y cafés con menos teatralidad turística.</t>
        </is>
      </c>
      <c r="Q6" s="16" t="inlineStr">
        <is>
          <t>Calle peatonal y callejones entre Harajuku y Shibuya.</t>
        </is>
      </c>
      <c r="R6" s="16" t="inlineStr">
        <is>
          <t>1–2 h</t>
        </is>
      </c>
      <c r="S6" s="16" t="inlineStr">
        <is>
          <t>Tarde</t>
        </is>
      </c>
      <c r="T6" s="16" t="inlineStr">
        <is>
          <t>Todo el año</t>
        </is>
      </c>
      <c r="U6" s="16" t="inlineStr">
        <is>
          <t>Alto</t>
        </is>
      </c>
      <c r="V6" s="16" t="inlineStr">
        <is>
          <t>Medio</t>
        </is>
      </c>
      <c r="W6" s="89" t="n">
        <v>0</v>
      </c>
      <c r="X6" s="89" t="n">
        <v>0</v>
      </c>
      <c r="Y6" s="89">
        <f>W6*'Configuración'!$B$4</f>
        <v/>
      </c>
      <c r="Z6" s="89">
        <f>X6*'Configuración'!$B$4</f>
        <v/>
      </c>
      <c r="AA6" s="16" t="inlineStr">
        <is>
          <t>No</t>
        </is>
      </c>
      <c r="AB6" s="16" t="inlineStr">
        <is>
          <t>—</t>
        </is>
      </c>
      <c r="AC6" s="16" t="inlineStr">
        <is>
          <t>Espacio público; comercios variables</t>
        </is>
      </c>
      <c r="AD6" s="16" t="inlineStr">
        <is>
          <t>Sin cierre</t>
        </is>
      </c>
      <c r="AE6" s="16" t="inlineStr">
        <is>
          <t>Metro Meiji-jingumae / Shibuya</t>
        </is>
      </c>
      <c r="AF6" s="16" t="inlineStr">
        <is>
          <t>Buena en áreas principales; confirmar detalles con el recinto</t>
        </is>
      </c>
      <c r="AG6" s="90" t="n">
        <v>35.6652</v>
      </c>
      <c r="AH6" s="90" t="n">
        <v>139.7088</v>
      </c>
      <c r="AI6" s="16" t="inlineStr">
        <is>
          <t>https://www.gotokyo.org/en/index.html</t>
        </is>
      </c>
      <c r="AJ6" s="16" t="inlineStr">
        <is>
          <t>Cambiante</t>
        </is>
      </c>
      <c r="AK6" s="16" t="inlineStr">
        <is>
          <t>ALTERNATIVE</t>
        </is>
      </c>
      <c r="AL6" s="16" t="inlineStr">
        <is>
          <t>pareja, diseño, compras, fotografía</t>
        </is>
      </c>
      <c r="AM6" s="91" t="n">
        <v>4</v>
      </c>
      <c r="AN6" s="91" t="n">
        <v>4</v>
      </c>
      <c r="AO6" s="91" t="n">
        <v>5</v>
      </c>
      <c r="AP6" s="91" t="n">
        <v>3</v>
      </c>
      <c r="AQ6" s="16" t="inlineStr">
        <is>
          <t>Imagen ideal: boutiques, arquitectura y cafés con menos teatralidad turística. con luz de tarde, sin multitudes dominando el encuadre.</t>
        </is>
      </c>
      <c r="AR6" s="16" t="inlineStr">
        <is>
          <t>Ota Memorial Museum of Art (~10 min a pie) | Nezu Museum (~11 min a pie) | Takeshita Street (~12 min a pie)</t>
        </is>
      </c>
      <c r="AS6" s="16" t="inlineStr">
        <is>
          <t>Alternativa menos saturada</t>
        </is>
      </c>
      <c r="AT6" s="16" t="inlineStr">
        <is>
          <t>Takeshita Street</t>
        </is>
      </c>
      <c r="AU6" s="16" t="inlineStr">
        <is>
          <t>https://www.google.com/maps/search/?api=1&amp;query=Cat%20Street%2C%20Shibuya%2C%20Japan</t>
        </is>
      </c>
      <c r="AV6" s="16" t="inlineStr">
        <is>
          <t>2026-09-01</t>
        </is>
      </c>
      <c r="AW6" s="16" t="inlineStr">
        <is>
          <t>CALENDARIO / CONDICIÓN PENDIENTE</t>
        </is>
      </c>
      <c r="AX6" s="16" t="inlineStr">
        <is>
          <t>No hay cierre específico confirmado para la ventana, pero horarios o acceso pueden variar.</t>
        </is>
      </c>
      <c r="AY6" s="16" t="inlineStr">
        <is>
          <t>Reconfirmar en la web oficial al fijar fechas.</t>
        </is>
      </c>
    </row>
    <row r="7" ht="66" customHeight="1">
      <c r="A7" s="16" t="inlineStr">
        <is>
          <t>JP-006</t>
        </is>
      </c>
      <c r="B7" s="16" t="inlineStr">
        <is>
          <t>Tokio</t>
        </is>
      </c>
      <c r="C7" s="16" t="inlineStr">
        <is>
          <t>Kanto</t>
        </is>
      </c>
      <c r="D7" s="16" t="inlineStr">
        <is>
          <t>Tokio</t>
        </is>
      </c>
      <c r="E7" s="16" t="inlineStr">
        <is>
          <t>Minato</t>
        </is>
      </c>
      <c r="F7" s="16" t="inlineStr">
        <is>
          <t>Aoyama</t>
        </is>
      </c>
      <c r="G7" s="16" t="inlineStr">
        <is>
          <t>Aoyama–Omotesando</t>
        </is>
      </c>
      <c r="H7" s="16" t="inlineStr">
        <is>
          <t>Nezu Museum</t>
        </is>
      </c>
      <c r="I7" s="16" t="inlineStr">
        <is>
          <t>根津美術館</t>
        </is>
      </c>
      <c r="J7" s="16" t="inlineStr">
        <is>
          <t>Nezu Museum</t>
        </is>
      </c>
      <c r="K7" s="16" t="inlineStr">
        <is>
          <t>🎨 Arte</t>
        </is>
      </c>
      <c r="L7" s="16" t="inlineStr">
        <is>
          <t>museo y jardín</t>
        </is>
      </c>
      <c r="M7" s="16" t="inlineStr">
        <is>
          <t>A</t>
        </is>
      </c>
      <c r="N7" s="16" t="inlineStr">
        <is>
          <t>Colección refinada y uno de los jardines museísticos más bellos de la ciudad.</t>
        </is>
      </c>
      <c r="O7" s="16" t="inlineStr">
        <is>
          <t>Arte japonés y asiático en un edificio de Kengo Kuma con jardín privado.</t>
        </is>
      </c>
      <c r="P7" s="16" t="inlineStr">
        <is>
          <t>Une arquitectura contemporánea, antigüedades y paisaje en una visita compacta.</t>
        </is>
      </c>
      <c r="Q7" s="16" t="inlineStr">
        <is>
          <t>Arte japonés y asiático en un edificio de Kengo Kuma con jardín privado.</t>
        </is>
      </c>
      <c r="R7" s="16" t="inlineStr">
        <is>
          <t>1.5–2.5 h</t>
        </is>
      </c>
      <c r="S7" s="16" t="inlineStr">
        <is>
          <t>Mañana</t>
        </is>
      </c>
      <c r="T7" s="16" t="inlineStr">
        <is>
          <t>Primavera y otoño</t>
        </is>
      </c>
      <c r="U7" s="16" t="inlineStr">
        <is>
          <t>Medio</t>
        </is>
      </c>
      <c r="V7" s="16" t="inlineStr">
        <is>
          <t>Medio</t>
        </is>
      </c>
      <c r="W7" s="89" t="n">
        <v>1500</v>
      </c>
      <c r="X7" s="89" t="n">
        <v>1800</v>
      </c>
      <c r="Y7" s="89">
        <f>W7*'Configuración'!$B$4</f>
        <v/>
      </c>
      <c r="Z7" s="89">
        <f>X7*'Configuración'!$B$4</f>
        <v/>
      </c>
      <c r="AA7" s="16" t="inlineStr">
        <is>
          <t>Recomendable</t>
        </is>
      </c>
      <c r="AB7" s="16" t="inlineStr">
        <is>
          <t>Días o semanas para exposición popular</t>
        </is>
      </c>
      <c r="AC7" s="16" t="inlineStr">
        <is>
          <t>10:00–17:00 aprox.; verificar exposición</t>
        </is>
      </c>
      <c r="AD7" s="16" t="inlineStr">
        <is>
          <t>Lunes y montaje; verificar</t>
        </is>
      </c>
      <c r="AE7" s="16" t="inlineStr">
        <is>
          <t>Metro Omote-sando, 8–10 min a pie</t>
        </is>
      </c>
      <c r="AF7" s="16" t="inlineStr">
        <is>
          <t>Parcial; pueden existir escalones, grava o edificios sin elevador</t>
        </is>
      </c>
      <c r="AG7" s="90" t="n">
        <v>35.6622</v>
      </c>
      <c r="AH7" s="90" t="n">
        <v>139.7171</v>
      </c>
      <c r="AI7" s="16" t="inlineStr">
        <is>
          <t>https://www.nezu-muse.or.jp/en/</t>
        </is>
      </c>
      <c r="AJ7" s="16" t="inlineStr">
        <is>
          <t>Cambiante</t>
        </is>
      </c>
      <c r="AK7" s="16" t="inlineStr">
        <is>
          <t>ART / GARDEN</t>
        </is>
      </c>
      <c r="AL7" s="16" t="inlineStr">
        <is>
          <t>pareja, arte, arquitectura, jardines</t>
        </is>
      </c>
      <c r="AM7" s="91" t="n">
        <v>5</v>
      </c>
      <c r="AN7" s="91" t="n">
        <v>5</v>
      </c>
      <c r="AO7" s="91" t="n">
        <v>5</v>
      </c>
      <c r="AP7" s="91" t="n">
        <v>2</v>
      </c>
      <c r="AQ7" s="16" t="inlineStr">
        <is>
          <t>Imagen ideal: une arquitectura contemporánea, antigüedades y paisaje en una visita compacta. con luz de mañana, sin multitudes dominando el encuadre.</t>
        </is>
      </c>
      <c r="AR7" s="16" t="inlineStr">
        <is>
          <t>Cat Street (~11 min a pie) | The National Art Center, Tokyo (~13 min a pie) | Mori Art Museum + Tokyo City View (~16 min a pie)</t>
        </is>
      </c>
      <c r="AS7" s="16" t="inlineStr">
        <is>
          <t>Semi-hidden</t>
        </is>
      </c>
      <c r="AT7" s="16" t="str"/>
      <c r="AU7" s="16" t="inlineStr">
        <is>
          <t>https://www.google.com/maps/search/?api=1&amp;query=Nezu%20Museum%2C%20Minato%2C%20Japan</t>
        </is>
      </c>
      <c r="AV7" s="16" t="inlineStr">
        <is>
          <t>2026-09-01</t>
        </is>
      </c>
      <c r="AW7" s="16" t="inlineStr">
        <is>
          <t>CALENDARIO / CONDICIÓN PENDIENTE</t>
        </is>
      </c>
      <c r="AX7" s="16" t="inlineStr">
        <is>
          <t>No hay cierre específico confirmado para la ventana, pero horarios o acceso pueden variar.</t>
        </is>
      </c>
      <c r="AY7" s="16" t="inlineStr">
        <is>
          <t>Reconfirmar en la web oficial al fijar fechas.</t>
        </is>
      </c>
    </row>
    <row r="8" ht="66" customHeight="1">
      <c r="A8" s="16" t="inlineStr">
        <is>
          <t>JP-007</t>
        </is>
      </c>
      <c r="B8" s="16" t="inlineStr">
        <is>
          <t>Tokio</t>
        </is>
      </c>
      <c r="C8" s="16" t="inlineStr">
        <is>
          <t>Kanto</t>
        </is>
      </c>
      <c r="D8" s="16" t="inlineStr">
        <is>
          <t>Tokio</t>
        </is>
      </c>
      <c r="E8" s="16" t="inlineStr">
        <is>
          <t>Shibuya</t>
        </is>
      </c>
      <c r="F8" s="16" t="inlineStr">
        <is>
          <t>Harajuku</t>
        </is>
      </c>
      <c r="G8" s="16" t="inlineStr">
        <is>
          <t>Harajuku–Meiji</t>
        </is>
      </c>
      <c r="H8" s="16" t="inlineStr">
        <is>
          <t>Ota Memorial Museum of Art</t>
        </is>
      </c>
      <c r="I8" s="16" t="inlineStr">
        <is>
          <t>太田記念美術館</t>
        </is>
      </c>
      <c r="J8" s="16" t="inlineStr">
        <is>
          <t>Ota Memorial Museum of Art</t>
        </is>
      </c>
      <c r="K8" s="16" t="inlineStr">
        <is>
          <t>🎨 Arte</t>
        </is>
      </c>
      <c r="L8" s="16" t="inlineStr">
        <is>
          <t>museo</t>
        </is>
      </c>
      <c r="M8" s="16" t="inlineStr">
        <is>
          <t>A</t>
        </is>
      </c>
      <c r="N8" s="16" t="inlineStr">
        <is>
          <t>Pequeño, especializado y excelente para comprender el ukiyo-e sin invertir medio día.</t>
        </is>
      </c>
      <c r="O8" s="16" t="inlineStr">
        <is>
          <t>Museo íntimo dedicado a grabados ukiyo-e con exposiciones rotativas.</t>
        </is>
      </c>
      <c r="P8" s="16" t="inlineStr">
        <is>
          <t>Especialización y escala humana junto al caos de Harajuku.</t>
        </is>
      </c>
      <c r="Q8" s="16" t="inlineStr">
        <is>
          <t>Museo íntimo dedicado a grabados ukiyo-e con exposiciones rotativas.</t>
        </is>
      </c>
      <c r="R8" s="16" t="inlineStr">
        <is>
          <t>45–75 min</t>
        </is>
      </c>
      <c r="S8" s="16" t="inlineStr">
        <is>
          <t>Tarde</t>
        </is>
      </c>
      <c r="T8" s="16" t="inlineStr">
        <is>
          <t>Todo el año</t>
        </is>
      </c>
      <c r="U8" s="16" t="inlineStr">
        <is>
          <t>Bajo</t>
        </is>
      </c>
      <c r="V8" s="16" t="inlineStr">
        <is>
          <t>Bajo</t>
        </is>
      </c>
      <c r="W8" s="89" t="n">
        <v>1000</v>
      </c>
      <c r="X8" s="89" t="n">
        <v>1400</v>
      </c>
      <c r="Y8" s="89">
        <f>W8*'Configuración'!$B$4</f>
        <v/>
      </c>
      <c r="Z8" s="89">
        <f>X8*'Configuración'!$B$4</f>
        <v/>
      </c>
      <c r="AA8" s="16" t="inlineStr">
        <is>
          <t>No</t>
        </is>
      </c>
      <c r="AB8" s="16" t="inlineStr">
        <is>
          <t>—</t>
        </is>
      </c>
      <c r="AC8" s="16" t="inlineStr">
        <is>
          <t>10:30–17:30 aprox.; verificar muestra</t>
        </is>
      </c>
      <c r="AD8" s="16" t="inlineStr">
        <is>
          <t>Cierres entre exposiciones</t>
        </is>
      </c>
      <c r="AE8" s="16" t="inlineStr">
        <is>
          <t>Metro Meiji-jingumae</t>
        </is>
      </c>
      <c r="AF8" s="16" t="inlineStr">
        <is>
          <t>Buena en áreas principales; confirmar detalles con el recinto</t>
        </is>
      </c>
      <c r="AG8" s="90" t="n">
        <v>35.6708</v>
      </c>
      <c r="AH8" s="90" t="n">
        <v>139.7054</v>
      </c>
      <c r="AI8" s="16" t="inlineStr">
        <is>
          <t>http://www.ukiyoe-ota-muse.jp/eng</t>
        </is>
      </c>
      <c r="AJ8" s="16" t="inlineStr">
        <is>
          <t>Cambiante</t>
        </is>
      </c>
      <c r="AK8" s="16" t="inlineStr">
        <is>
          <t>HIDDEN GEM</t>
        </is>
      </c>
      <c r="AL8" s="16" t="inlineStr">
        <is>
          <t>arte, cultura, lluvia</t>
        </is>
      </c>
      <c r="AM8" s="91" t="n">
        <v>3</v>
      </c>
      <c r="AN8" s="91" t="n">
        <v>5</v>
      </c>
      <c r="AO8" s="91" t="n">
        <v>5</v>
      </c>
      <c r="AP8" s="91" t="n">
        <v>1</v>
      </c>
      <c r="AQ8" s="16" t="inlineStr">
        <is>
          <t>Imagen ideal: especialización y escala humana junto al caos de harajuku. con luz de tarde, sin multitudes dominando el encuadre.</t>
        </is>
      </c>
      <c r="AR8" s="16" t="inlineStr">
        <is>
          <t>Takeshita Street (~3 min a pie) | Cat Street (~10 min a pie) | Meiji Jingu (~12 min a pie)</t>
        </is>
      </c>
      <c r="AS8" s="16" t="inlineStr">
        <is>
          <t>Hidden Gem real</t>
        </is>
      </c>
      <c r="AT8" s="16" t="str"/>
      <c r="AU8" s="16" t="inlineStr">
        <is>
          <t>https://www.google.com/maps/search/?api=1&amp;query=Ota%20Memorial%20Museum%20of%20Art%2C%20Shibuya%2C%20Japan</t>
        </is>
      </c>
      <c r="AV8" s="16" t="inlineStr">
        <is>
          <t>2026-09-01</t>
        </is>
      </c>
      <c r="AW8" s="16" t="inlineStr">
        <is>
          <t>CALENDARIO / CONDICIÓN PENDIENTE</t>
        </is>
      </c>
      <c r="AX8" s="16" t="inlineStr">
        <is>
          <t>No hay cierre específico confirmado para la ventana, pero horarios o acceso pueden variar.</t>
        </is>
      </c>
      <c r="AY8" s="16" t="inlineStr">
        <is>
          <t>Reconfirmar en la web oficial al fijar fechas.</t>
        </is>
      </c>
    </row>
    <row r="9" ht="66" customHeight="1">
      <c r="A9" s="16" t="inlineStr">
        <is>
          <t>JP-008</t>
        </is>
      </c>
      <c r="B9" s="16" t="inlineStr">
        <is>
          <t>Tokio</t>
        </is>
      </c>
      <c r="C9" s="16" t="inlineStr">
        <is>
          <t>Kanto</t>
        </is>
      </c>
      <c r="D9" s="16" t="inlineStr">
        <is>
          <t>Tokio</t>
        </is>
      </c>
      <c r="E9" s="16" t="inlineStr">
        <is>
          <t>Shibuya</t>
        </is>
      </c>
      <c r="F9" s="16" t="inlineStr">
        <is>
          <t>Shibuya</t>
        </is>
      </c>
      <c r="G9" s="16" t="inlineStr">
        <is>
          <t>Shibuya</t>
        </is>
      </c>
      <c r="H9" s="16" t="inlineStr">
        <is>
          <t>Shibuya PARCO + Nintendo TOKYO</t>
        </is>
      </c>
      <c r="I9" s="16" t="inlineStr">
        <is>
          <t>渋谷PARCO・Nintendo TOKYO</t>
        </is>
      </c>
      <c r="J9" s="16" t="inlineStr">
        <is>
          <t>Shibuya PARCO + Nintendo TOKYO</t>
        </is>
      </c>
      <c r="K9" s="16" t="inlineStr">
        <is>
          <t>🎮 Videojuegos</t>
        </is>
      </c>
      <c r="L9" s="16" t="inlineStr">
        <is>
          <t>centro de cultura pop</t>
        </is>
      </c>
      <c r="M9" s="16" t="inlineStr">
        <is>
          <t>A</t>
        </is>
      </c>
      <c r="N9" s="16" t="inlineStr">
        <is>
          <t>Concentra Nintendo, Pokémon, Capcom y diseño en un solo edificio.</t>
        </is>
      </c>
      <c r="O9" s="16" t="inlineStr">
        <is>
          <t>Complejo comercial con tiendas oficiales y cultura pop japonesa.</t>
        </is>
      </c>
      <c r="P9" s="16" t="inlineStr">
        <is>
          <t>Es el nodo más eficiente para varias franquicias sin desplazamientos.</t>
        </is>
      </c>
      <c r="Q9" s="16" t="inlineStr">
        <is>
          <t>Complejo comercial con tiendas oficiales y cultura pop japonesa.</t>
        </is>
      </c>
      <c r="R9" s="16" t="inlineStr">
        <is>
          <t>1.5–3 h</t>
        </is>
      </c>
      <c r="S9" s="16" t="inlineStr">
        <is>
          <t>Tarde</t>
        </is>
      </c>
      <c r="T9" s="16" t="inlineStr">
        <is>
          <t>Todo el año</t>
        </is>
      </c>
      <c r="U9" s="16" t="inlineStr">
        <is>
          <t>Extremo</t>
        </is>
      </c>
      <c r="V9" s="16" t="inlineStr">
        <is>
          <t>Alto</t>
        </is>
      </c>
      <c r="W9" s="89" t="n">
        <v>0</v>
      </c>
      <c r="X9" s="89" t="n">
        <v>0</v>
      </c>
      <c r="Y9" s="89">
        <f>W9*'Configuración'!$B$4</f>
        <v/>
      </c>
      <c r="Z9" s="89">
        <f>X9*'Configuración'!$B$4</f>
        <v/>
      </c>
      <c r="AA9" s="16" t="inlineStr">
        <is>
          <t>No</t>
        </is>
      </c>
      <c r="AB9" s="16" t="inlineStr">
        <is>
          <t>—</t>
        </is>
      </c>
      <c r="AC9" s="16" t="inlineStr">
        <is>
          <t>Aprox. 11:00–21:00; verificar</t>
        </is>
      </c>
      <c r="AD9" s="16" t="inlineStr">
        <is>
          <t>Según edificio</t>
        </is>
      </c>
      <c r="AE9" s="16" t="inlineStr">
        <is>
          <t>JR/Metro Shibuya</t>
        </is>
      </c>
      <c r="AF9" s="16" t="inlineStr">
        <is>
          <t>Buena en áreas principales; confirmar detalles con el recinto</t>
        </is>
      </c>
      <c r="AG9" s="90" t="n">
        <v>35.662</v>
      </c>
      <c r="AH9" s="90" t="n">
        <v>139.6988</v>
      </c>
      <c r="AI9" s="16" t="inlineStr">
        <is>
          <t>https://shibuya.parco.jp.e.aiv.hp.transer.com/</t>
        </is>
      </c>
      <c r="AJ9" s="16" t="inlineStr">
        <is>
          <t>Cambiante</t>
        </is>
      </c>
      <c r="AK9" s="16" t="inlineStr">
        <is>
          <t>GAMING</t>
        </is>
      </c>
      <c r="AL9" s="16" t="inlineStr">
        <is>
          <t>videojuegos, anime, compras</t>
        </is>
      </c>
      <c r="AM9" s="91" t="n">
        <v>4</v>
      </c>
      <c r="AN9" s="91" t="n">
        <v>4</v>
      </c>
      <c r="AO9" s="91" t="n">
        <v>4</v>
      </c>
      <c r="AP9" s="91" t="n">
        <v>5</v>
      </c>
      <c r="AQ9" s="16" t="inlineStr">
        <is>
          <t>Imagen ideal: es el nodo más eficiente para varias franquicias sin desplazamientos. con luz de tarde, sin multitudes dominando el encuadre.</t>
        </is>
      </c>
      <c r="AR9" s="16" t="inlineStr">
        <is>
          <t>Shibuya Crossing (~4 min a pie) | SHIBUYA SKY (~7 min a pie) | Cat Street (~14 min a pie)</t>
        </is>
      </c>
      <c r="AS9" s="16" t="inlineStr">
        <is>
          <t>Popular / turístico</t>
        </is>
      </c>
      <c r="AT9" s="16" t="str"/>
      <c r="AU9" s="16" t="inlineStr">
        <is>
          <t>https://www.google.com/maps/search/?api=1&amp;query=Shibuya%20PARCO%20%2B%20Nintendo%20TOKYO%2C%20Shibuya%2C%20Japan</t>
        </is>
      </c>
      <c r="AV9" s="16" t="inlineStr">
        <is>
          <t>2026-09-01</t>
        </is>
      </c>
      <c r="AW9" s="16" t="inlineStr">
        <is>
          <t>CALENDARIO / CONDICIÓN PENDIENTE</t>
        </is>
      </c>
      <c r="AX9" s="16" t="inlineStr">
        <is>
          <t>No hay cierre específico confirmado para la ventana, pero horarios o acceso pueden variar.</t>
        </is>
      </c>
      <c r="AY9" s="16" t="inlineStr">
        <is>
          <t>Reconfirmar en la web oficial al fijar fechas.</t>
        </is>
      </c>
    </row>
    <row r="10" ht="66" customHeight="1">
      <c r="A10" s="16" t="inlineStr">
        <is>
          <t>JP-009</t>
        </is>
      </c>
      <c r="B10" s="16" t="inlineStr">
        <is>
          <t>Tokio</t>
        </is>
      </c>
      <c r="C10" s="16" t="inlineStr">
        <is>
          <t>Kanto</t>
        </is>
      </c>
      <c r="D10" s="16" t="inlineStr">
        <is>
          <t>Tokio</t>
        </is>
      </c>
      <c r="E10" s="16" t="inlineStr">
        <is>
          <t>Shibuya</t>
        </is>
      </c>
      <c r="F10" s="16" t="inlineStr">
        <is>
          <t>Daikanyama</t>
        </is>
      </c>
      <c r="G10" s="16" t="inlineStr">
        <is>
          <t>Daikanyama–Ebisu</t>
        </is>
      </c>
      <c r="H10" s="16" t="inlineStr">
        <is>
          <t>Daikanyama T-SITE</t>
        </is>
      </c>
      <c r="I10" s="16" t="inlineStr">
        <is>
          <t>代官山T-SITE</t>
        </is>
      </c>
      <c r="J10" s="16" t="inlineStr">
        <is>
          <t>Daikanyama T-SITE</t>
        </is>
      </c>
      <c r="K10" s="16" t="inlineStr">
        <is>
          <t>🧩 Extraño/peculiar/único</t>
        </is>
      </c>
      <c r="L10" s="16" t="inlineStr">
        <is>
          <t>librería/arquitectura</t>
        </is>
      </c>
      <c r="M10" s="16" t="inlineStr">
        <is>
          <t>A</t>
        </is>
      </c>
      <c r="N10" s="16" t="inlineStr">
        <is>
          <t>Gran pausa de diseño, libros y café fuera de los circuitos más ruidosos.</t>
        </is>
      </c>
      <c r="O10" s="16" t="inlineStr">
        <is>
          <t>Conjunto de librerías y pabellones de arquitectura contemporánea.</t>
        </is>
      </c>
      <c r="P10" s="16" t="inlineStr">
        <is>
          <t>La experiencia de curaduría y espacio importa tanto como comprar.</t>
        </is>
      </c>
      <c r="Q10" s="16" t="inlineStr">
        <is>
          <t>Conjunto de librerías y pabellones de arquitectura contemporánea.</t>
        </is>
      </c>
      <c r="R10" s="16" t="inlineStr">
        <is>
          <t>1–2 h</t>
        </is>
      </c>
      <c r="S10" s="16" t="inlineStr">
        <is>
          <t>Tarde</t>
        </is>
      </c>
      <c r="T10" s="16" t="inlineStr">
        <is>
          <t>Todo el año</t>
        </is>
      </c>
      <c r="U10" s="16" t="inlineStr">
        <is>
          <t>Medio</t>
        </is>
      </c>
      <c r="V10" s="16" t="inlineStr">
        <is>
          <t>Bajo</t>
        </is>
      </c>
      <c r="W10" s="89" t="n">
        <v>0</v>
      </c>
      <c r="X10" s="89" t="n">
        <v>0</v>
      </c>
      <c r="Y10" s="89">
        <f>W10*'Configuración'!$B$4</f>
        <v/>
      </c>
      <c r="Z10" s="89">
        <f>X10*'Configuración'!$B$4</f>
        <v/>
      </c>
      <c r="AA10" s="16" t="inlineStr">
        <is>
          <t>No</t>
        </is>
      </c>
      <c r="AB10" s="16" t="inlineStr">
        <is>
          <t>—</t>
        </is>
      </c>
      <c r="AC10" s="16" t="inlineStr">
        <is>
          <t>Aprox. 07:00–23:00; comercios varían</t>
        </is>
      </c>
      <c r="AD10" s="16" t="inlineStr">
        <is>
          <t>Sin cierre ordinario</t>
        </is>
      </c>
      <c r="AE10" s="16" t="inlineStr">
        <is>
          <t>Tokyu Daikanyama, 5 min</t>
        </is>
      </c>
      <c r="AF10" s="16" t="inlineStr">
        <is>
          <t>Buena en áreas principales; confirmar detalles con el recinto</t>
        </is>
      </c>
      <c r="AG10" s="90" t="n">
        <v>35.6488</v>
      </c>
      <c r="AH10" s="90" t="n">
        <v>139.6997</v>
      </c>
      <c r="AI10" s="16" t="inlineStr">
        <is>
          <t>https://store.tsite.jp/daikanyama/english/</t>
        </is>
      </c>
      <c r="AJ10" s="16" t="inlineStr">
        <is>
          <t>Cambiante</t>
        </is>
      </c>
      <c r="AK10" s="16" t="inlineStr">
        <is>
          <t>HIDDEN GEM</t>
        </is>
      </c>
      <c r="AL10" s="16" t="inlineStr">
        <is>
          <t>pareja, diseño, libros, café</t>
        </is>
      </c>
      <c r="AM10" s="91" t="n">
        <v>4</v>
      </c>
      <c r="AN10" s="91" t="n">
        <v>5</v>
      </c>
      <c r="AO10" s="91" t="n">
        <v>5</v>
      </c>
      <c r="AP10" s="91" t="n">
        <v>2</v>
      </c>
      <c r="AQ10" s="16" t="inlineStr">
        <is>
          <t>Imagen ideal: la experiencia de curaduría y espacio importa tanto como comprar. con luz de tarde, sin multitudes dominando el encuadre.</t>
        </is>
      </c>
      <c r="AR10" s="16" t="inlineStr">
        <is>
          <t>SHIBUYA SKY (~15 min a pie) | Shibuya Crossing (~17 min a pie) | Shibuya PARCO + Nintendo TOKYO (~21 min a pie)</t>
        </is>
      </c>
      <c r="AS10" s="16" t="inlineStr">
        <is>
          <t>Semi-hidden</t>
        </is>
      </c>
      <c r="AT10" s="16" t="str"/>
      <c r="AU10" s="16" t="inlineStr">
        <is>
          <t>https://www.google.com/maps/search/?api=1&amp;query=Daikanyama%20T-SITE%2C%20Shibuya%2C%20Japan</t>
        </is>
      </c>
      <c r="AV10" s="16" t="inlineStr">
        <is>
          <t>2026-09-01</t>
        </is>
      </c>
      <c r="AW10" s="16" t="inlineStr">
        <is>
          <t>CALENDARIO / CONDICIÓN PENDIENTE</t>
        </is>
      </c>
      <c r="AX10" s="16" t="inlineStr">
        <is>
          <t>No hay cierre específico confirmado para la ventana, pero horarios o acceso pueden variar.</t>
        </is>
      </c>
      <c r="AY10" s="16" t="inlineStr">
        <is>
          <t>Reconfirmar en la web oficial al fijar fechas.</t>
        </is>
      </c>
    </row>
    <row r="11" ht="66" customHeight="1">
      <c r="A11" s="16" t="inlineStr">
        <is>
          <t>JP-010</t>
        </is>
      </c>
      <c r="B11" s="16" t="inlineStr">
        <is>
          <t>Tokio</t>
        </is>
      </c>
      <c r="C11" s="16" t="inlineStr">
        <is>
          <t>Kanto</t>
        </is>
      </c>
      <c r="D11" s="16" t="inlineStr">
        <is>
          <t>Tokio</t>
        </is>
      </c>
      <c r="E11" s="16" t="inlineStr">
        <is>
          <t>Shinjuku</t>
        </is>
      </c>
      <c r="F11" s="16" t="inlineStr">
        <is>
          <t>Shinjuku</t>
        </is>
      </c>
      <c r="G11" s="16" t="inlineStr">
        <is>
          <t>Shinjuku</t>
        </is>
      </c>
      <c r="H11" s="16" t="inlineStr">
        <is>
          <t>Shinjuku Gyoen National Garden</t>
        </is>
      </c>
      <c r="I11" s="16" t="inlineStr">
        <is>
          <t>新宿御苑</t>
        </is>
      </c>
      <c r="J11" s="16" t="inlineStr">
        <is>
          <t>Shinjuku Gyoen National Garden</t>
        </is>
      </c>
      <c r="K11" s="16" t="inlineStr">
        <is>
          <t>🌸 Jardines y paisajes</t>
        </is>
      </c>
      <c r="L11" s="16" t="inlineStr">
        <is>
          <t>jardín</t>
        </is>
      </c>
      <c r="M11" s="16" t="inlineStr">
        <is>
          <t>A</t>
        </is>
      </c>
      <c r="N11" s="16" t="inlineStr">
        <is>
          <t>El mejor gran jardín central para entender la escala y el contraste de Tokio. Clasificación v2: excelente y muy recomendable, pero no justifica por sí sola adaptar la ruta.</t>
        </is>
      </c>
      <c r="O11" s="16" t="inlineStr">
        <is>
          <t>Jardines japonés, inglés y francés bajo el skyline de Shinjuku.</t>
        </is>
      </c>
      <c r="P11" s="16" t="inlineStr">
        <is>
          <t>Combina paisaje formal y rascacielos con espacio suficiente para descansar.</t>
        </is>
      </c>
      <c r="Q11" s="16" t="inlineStr">
        <is>
          <t>Jardines japonés, inglés y francés bajo el skyline de Shinjuku.</t>
        </is>
      </c>
      <c r="R11" s="16" t="inlineStr">
        <is>
          <t>2–3 h</t>
        </is>
      </c>
      <c r="S11" s="16" t="inlineStr">
        <is>
          <t>Mañana</t>
        </is>
      </c>
      <c r="T11" s="16" t="inlineStr">
        <is>
          <t>Sakura y otoño; bueno todo el año</t>
        </is>
      </c>
      <c r="U11" s="16" t="inlineStr">
        <is>
          <t>Alto</t>
        </is>
      </c>
      <c r="V11" s="16" t="inlineStr">
        <is>
          <t>Alto</t>
        </is>
      </c>
      <c r="W11" s="89" t="n">
        <v>500</v>
      </c>
      <c r="X11" s="89" t="n">
        <v>500</v>
      </c>
      <c r="Y11" s="89">
        <f>W11*'Configuración'!$B$4</f>
        <v/>
      </c>
      <c r="Z11" s="89">
        <f>X11*'Configuración'!$B$4</f>
        <v/>
      </c>
      <c r="AA11" s="16" t="inlineStr">
        <is>
          <t>No</t>
        </is>
      </c>
      <c r="AB11" s="16" t="inlineStr">
        <is>
          <t>—</t>
        </is>
      </c>
      <c r="AC11" s="16" t="inlineStr">
        <is>
          <t>09:00–16:00/17:30 según temporada</t>
        </is>
      </c>
      <c r="AD11" s="16" t="inlineStr">
        <is>
          <t>Lunes y fechas especiales; verificar</t>
        </is>
      </c>
      <c r="AE11" s="16" t="inlineStr">
        <is>
          <t>Shinjuku-gyoemmae / Sendagaya</t>
        </is>
      </c>
      <c r="AF11" s="16" t="inlineStr">
        <is>
          <t>Parcial; pueden existir escalones, grava o edificios sin elevador</t>
        </is>
      </c>
      <c r="AG11" s="90" t="n">
        <v>35.6852</v>
      </c>
      <c r="AH11" s="90" t="n">
        <v>139.7101</v>
      </c>
      <c r="AI11" s="16" t="inlineStr">
        <is>
          <t>https://fng.or.jp/shinjuku/en/</t>
        </is>
      </c>
      <c r="AJ11" s="16" t="inlineStr">
        <is>
          <t>Cambiante</t>
        </is>
      </c>
      <c r="AK11" s="16" t="inlineStr">
        <is>
          <t>MUST SEE</t>
        </is>
      </c>
      <c r="AL11" s="16" t="inlineStr">
        <is>
          <t>pareja, naturaleza, fotografía, descanso</t>
        </is>
      </c>
      <c r="AM11" s="91" t="n">
        <v>5</v>
      </c>
      <c r="AN11" s="91" t="n">
        <v>4</v>
      </c>
      <c r="AO11" s="91" t="n">
        <v>5</v>
      </c>
      <c r="AP11" s="91" t="n">
        <v>4</v>
      </c>
      <c r="AQ11" s="16" t="inlineStr">
        <is>
          <t>Imagen ideal: combina paisaje formal y rascacielos con espacio suficiente para descansar. con luz de mañana, sin multitudes dominando el encuadre.</t>
        </is>
      </c>
      <c r="AR11" s="16" t="inlineStr">
        <is>
          <t>Golden Gai (~15 min a pie) | Kabukicho (~17 min a pie) | Omoide Yokocho (~18 min a pie)</t>
        </is>
      </c>
      <c r="AS11" s="16" t="inlineStr">
        <is>
          <t>Popular / turístico</t>
        </is>
      </c>
      <c r="AT11" s="16" t="str"/>
      <c r="AU11" s="16" t="inlineStr">
        <is>
          <t>https://www.google.com/maps/search/?api=1&amp;query=Shinjuku%20Gyoen%20National%20Garden%2C%20Shinjuku%2C%20Japan</t>
        </is>
      </c>
      <c r="AV11" s="16" t="inlineStr">
        <is>
          <t>2026-09-01</t>
        </is>
      </c>
      <c r="AW11" s="16" t="inlineStr">
        <is>
          <t>ABIERTO; FLORACIÓN NO GARANTIZADA</t>
        </is>
      </c>
      <c r="AX11" s="16" t="inlineStr">
        <is>
          <t>En Japón central la floración plena suele ser más tardía; finales de marzo es incierto.</t>
        </is>
      </c>
      <c r="AY11" s="16" t="inlineStr">
        <is>
          <t>No basar la visita en sakura hasta el pronóstico 2027.</t>
        </is>
      </c>
    </row>
    <row r="12" ht="66" customHeight="1">
      <c r="A12" s="16" t="inlineStr">
        <is>
          <t>JP-011</t>
        </is>
      </c>
      <c r="B12" s="16" t="inlineStr">
        <is>
          <t>Tokio</t>
        </is>
      </c>
      <c r="C12" s="16" t="inlineStr">
        <is>
          <t>Kanto</t>
        </is>
      </c>
      <c r="D12" s="16" t="inlineStr">
        <is>
          <t>Tokio</t>
        </is>
      </c>
      <c r="E12" s="16" t="inlineStr">
        <is>
          <t>Shinjuku</t>
        </is>
      </c>
      <c r="F12" s="16" t="inlineStr">
        <is>
          <t>Nishi-Shinjuku</t>
        </is>
      </c>
      <c r="G12" s="16" t="inlineStr">
        <is>
          <t>Shinjuku</t>
        </is>
      </c>
      <c r="H12" s="16" t="inlineStr">
        <is>
          <t>Tokyo Metropolitan Government Observatory</t>
        </is>
      </c>
      <c r="I12" s="16" t="inlineStr">
        <is>
          <t>東京都庁展望室</t>
        </is>
      </c>
      <c r="J12" s="16" t="inlineStr">
        <is>
          <t>Tokyo Metropolitan Government Observatory</t>
        </is>
      </c>
      <c r="K12" s="16" t="inlineStr">
        <is>
          <t>🌅 Miradores</t>
        </is>
      </c>
      <c r="L12" s="16" t="inlineStr">
        <is>
          <t>mirador</t>
        </is>
      </c>
      <c r="M12" s="16" t="inlineStr">
        <is>
          <t>A</t>
        </is>
      </c>
      <c r="N12" s="16" t="inlineStr">
        <is>
          <t>La mejor vista gratuita de la ciudad y excelente respaldo si otros miradores se agotan.</t>
        </is>
      </c>
      <c r="O12" s="16" t="inlineStr">
        <is>
          <t>Observatorios gratuitos en las torres del gobierno metropolitano.</t>
        </is>
      </c>
      <c r="P12" s="16" t="inlineStr">
        <is>
          <t>Costo cero, vista amplia y proyección mapping nocturno cercana.</t>
        </is>
      </c>
      <c r="Q12" s="16" t="inlineStr">
        <is>
          <t>Observatorios gratuitos en las torres del gobierno metropolitano.</t>
        </is>
      </c>
      <c r="R12" s="16" t="inlineStr">
        <is>
          <t>45–90 min</t>
        </is>
      </c>
      <c r="S12" s="16" t="inlineStr">
        <is>
          <t>Atardecer</t>
        </is>
      </c>
      <c r="T12" s="16" t="inlineStr">
        <is>
          <t>Invierno para Fuji</t>
        </is>
      </c>
      <c r="U12" s="16" t="inlineStr">
        <is>
          <t>Alto</t>
        </is>
      </c>
      <c r="V12" s="16" t="inlineStr">
        <is>
          <t>Medio</t>
        </is>
      </c>
      <c r="W12" s="89" t="n">
        <v>0</v>
      </c>
      <c r="X12" s="89" t="n">
        <v>0</v>
      </c>
      <c r="Y12" s="89">
        <f>W12*'Configuración'!$B$4</f>
        <v/>
      </c>
      <c r="Z12" s="89">
        <f>X12*'Configuración'!$B$4</f>
        <v/>
      </c>
      <c r="AA12" s="16" t="inlineStr">
        <is>
          <t>No</t>
        </is>
      </c>
      <c r="AB12" s="16" t="inlineStr">
        <is>
          <t>—</t>
        </is>
      </c>
      <c r="AC12" s="16" t="inlineStr">
        <is>
          <t>Variable; comprobar torre abierta</t>
        </is>
      </c>
      <c r="AD12" s="16" t="inlineStr">
        <is>
          <t>Cierres variables</t>
        </is>
      </c>
      <c r="AE12" s="16" t="inlineStr">
        <is>
          <t>Tochomae, acceso subterráneo</t>
        </is>
      </c>
      <c r="AF12" s="16" t="inlineStr">
        <is>
          <t>Buena en áreas principales; confirmar detalles con el recinto</t>
        </is>
      </c>
      <c r="AG12" s="90" t="n">
        <v>35.6896</v>
      </c>
      <c r="AH12" s="90" t="n">
        <v>139.6921</v>
      </c>
      <c r="AI12" s="16" t="inlineStr">
        <is>
          <t>https://www.yokoso.metro.tokyo.lg.jp/en/tenbou/</t>
        </is>
      </c>
      <c r="AJ12" s="16" t="inlineStr">
        <is>
          <t>Cambiante</t>
        </is>
      </c>
      <c r="AK12" s="16" t="inlineStr">
        <is>
          <t>VALUE</t>
        </is>
      </c>
      <c r="AL12" s="16" t="inlineStr">
        <is>
          <t>fotografía, arquitectura, presupuesto</t>
        </is>
      </c>
      <c r="AM12" s="91" t="n">
        <v>4</v>
      </c>
      <c r="AN12" s="91" t="n">
        <v>3</v>
      </c>
      <c r="AO12" s="91" t="n">
        <v>5</v>
      </c>
      <c r="AP12" s="91" t="n">
        <v>3</v>
      </c>
      <c r="AQ12" s="16" t="inlineStr">
        <is>
          <t>Imagen ideal: costo cero, vista amplia y proyección mapping nocturno cercana. con luz de atardecer, sin multitudes dominando el encuadre.</t>
        </is>
      </c>
      <c r="AR12" s="16" t="inlineStr">
        <is>
          <t>Omoide Yokocho (~11 min a pie) | Kabukicho (~15 min a pie) | Golden Gai (~18 min a pie)</t>
        </is>
      </c>
      <c r="AS12" s="16" t="inlineStr">
        <is>
          <t>Alternativa menos saturada</t>
        </is>
      </c>
      <c r="AT12" s="16" t="inlineStr">
        <is>
          <t>SHIBUYA SKY</t>
        </is>
      </c>
      <c r="AU12" s="16" t="inlineStr">
        <is>
          <t>https://www.google.com/maps/search/?api=1&amp;query=Tokyo%20Metropolitan%20Government%20Observatory%2C%20Shinjuku%2C%20Japan</t>
        </is>
      </c>
      <c r="AV12" s="16" t="inlineStr">
        <is>
          <t>2026-09-01</t>
        </is>
      </c>
      <c r="AW12" s="16" t="inlineStr">
        <is>
          <t>CALENDARIO / CONDICIÓN PENDIENTE</t>
        </is>
      </c>
      <c r="AX12" s="16" t="inlineStr">
        <is>
          <t>No hay cierre específico confirmado para la ventana, pero horarios o acceso pueden variar.</t>
        </is>
      </c>
      <c r="AY12" s="16" t="inlineStr">
        <is>
          <t>Reconfirmar en la web oficial al fijar fechas.</t>
        </is>
      </c>
    </row>
    <row r="13" ht="66" customHeight="1">
      <c r="A13" s="16" t="inlineStr">
        <is>
          <t>JP-012</t>
        </is>
      </c>
      <c r="B13" s="16" t="inlineStr">
        <is>
          <t>Tokio</t>
        </is>
      </c>
      <c r="C13" s="16" t="inlineStr">
        <is>
          <t>Kanto</t>
        </is>
      </c>
      <c r="D13" s="16" t="inlineStr">
        <is>
          <t>Tokio</t>
        </is>
      </c>
      <c r="E13" s="16" t="inlineStr">
        <is>
          <t>Shinjuku</t>
        </is>
      </c>
      <c r="F13" s="16" t="inlineStr">
        <is>
          <t>Kabukicho</t>
        </is>
      </c>
      <c r="G13" s="16" t="inlineStr">
        <is>
          <t>Shinjuku</t>
        </is>
      </c>
      <c r="H13" s="16" t="inlineStr">
        <is>
          <t>Kabukicho</t>
        </is>
      </c>
      <c r="I13" s="16" t="inlineStr">
        <is>
          <t>歌舞伎町</t>
        </is>
      </c>
      <c r="J13" s="16" t="inlineStr">
        <is>
          <t>Kabukicho</t>
        </is>
      </c>
      <c r="K13" s="16" t="inlineStr">
        <is>
          <t>🌃 Nocturno</t>
        </is>
      </c>
      <c r="L13" s="16" t="inlineStr">
        <is>
          <t>barrio nocturno</t>
        </is>
      </c>
      <c r="M13" s="16" t="inlineStr">
        <is>
          <t>B</t>
        </is>
      </c>
      <c r="N13" s="16" t="inlineStr">
        <is>
          <t>Visualmente potente, pero conviene por ambiente y fotografía, no por atracciones concretas.</t>
        </is>
      </c>
      <c r="O13" s="16" t="inlineStr">
        <is>
          <t>Distrito de neón, ocio, cines, bares y enorme densidad peatonal.</t>
        </is>
      </c>
      <c r="P13" s="16" t="inlineStr">
        <is>
          <t>Es el Tokio nocturno más teatral y caótico.</t>
        </is>
      </c>
      <c r="Q13" s="16" t="inlineStr">
        <is>
          <t>Distrito de neón, ocio, cines, bares y enorme densidad peatonal.</t>
        </is>
      </c>
      <c r="R13" s="16" t="inlineStr">
        <is>
          <t>1–2 h</t>
        </is>
      </c>
      <c r="S13" s="16" t="inlineStr">
        <is>
          <t>Noche</t>
        </is>
      </c>
      <c r="T13" s="16" t="inlineStr">
        <is>
          <t>Todo el año</t>
        </is>
      </c>
      <c r="U13" s="16" t="inlineStr">
        <is>
          <t>Extremo</t>
        </is>
      </c>
      <c r="V13" s="16" t="inlineStr">
        <is>
          <t>Extremo</t>
        </is>
      </c>
      <c r="W13" s="89" t="n">
        <v>0</v>
      </c>
      <c r="X13" s="89" t="n">
        <v>0</v>
      </c>
      <c r="Y13" s="89">
        <f>W13*'Configuración'!$B$4</f>
        <v/>
      </c>
      <c r="Z13" s="89">
        <f>X13*'Configuración'!$B$4</f>
        <v/>
      </c>
      <c r="AA13" s="16" t="inlineStr">
        <is>
          <t>No</t>
        </is>
      </c>
      <c r="AB13" s="16" t="inlineStr">
        <is>
          <t>—</t>
        </is>
      </c>
      <c r="AC13" s="16" t="inlineStr">
        <is>
          <t>Espacio público 24 h</t>
        </is>
      </c>
      <c r="AD13" s="16" t="inlineStr">
        <is>
          <t>Sin cierre</t>
        </is>
      </c>
      <c r="AE13" s="16" t="inlineStr">
        <is>
          <t>JR/Metro Shinjuku / Seibu-Shinjuku</t>
        </is>
      </c>
      <c r="AF13" s="16" t="inlineStr">
        <is>
          <t>Buena en áreas principales; confirmar detalles con el recinto</t>
        </is>
      </c>
      <c r="AG13" s="90" t="n">
        <v>35.6944</v>
      </c>
      <c r="AH13" s="90" t="n">
        <v>139.7028</v>
      </c>
      <c r="AI13" s="16" t="inlineStr">
        <is>
          <t>https://www.gotokyo.org/en/index.html</t>
        </is>
      </c>
      <c r="AJ13" s="16" t="inlineStr">
        <is>
          <t>Cambiante</t>
        </is>
      </c>
      <c r="AK13" s="16" t="inlineStr">
        <is>
          <t>NIGHT</t>
        </is>
      </c>
      <c r="AL13" s="16" t="inlineStr">
        <is>
          <t>pareja, fotografía, noche</t>
        </is>
      </c>
      <c r="AM13" s="91" t="n">
        <v>5</v>
      </c>
      <c r="AN13" s="91" t="n">
        <v>3</v>
      </c>
      <c r="AO13" s="91" t="n">
        <v>3</v>
      </c>
      <c r="AP13" s="91" t="n">
        <v>5</v>
      </c>
      <c r="AQ13" s="16" t="inlineStr">
        <is>
          <t>Imagen ideal: es el tokio nocturno más teatral y caótico. con luz de noche, sin multitudes dominando el encuadre.</t>
        </is>
      </c>
      <c r="AR13" s="16" t="inlineStr">
        <is>
          <t>Golden Gai (~3 min a pie) | Omoide Yokocho (~5 min a pie) | Tokyo Metropolitan Government Observatory (~15 min a pie)</t>
        </is>
      </c>
      <c r="AS13" s="16" t="inlineStr">
        <is>
          <t>Popular / turístico</t>
        </is>
      </c>
      <c r="AT13" s="16" t="str"/>
      <c r="AU13" s="16" t="inlineStr">
        <is>
          <t>https://www.google.com/maps/search/?api=1&amp;query=Kabukicho%2C%20Shinjuku%2C%20Japan</t>
        </is>
      </c>
      <c r="AV13" s="16" t="inlineStr">
        <is>
          <t>2026-09-01</t>
        </is>
      </c>
      <c r="AW13" s="16" t="inlineStr">
        <is>
          <t>CALENDARIO / CONDICIÓN PENDIENTE</t>
        </is>
      </c>
      <c r="AX13" s="16" t="inlineStr">
        <is>
          <t>No hay cierre específico confirmado para la ventana, pero horarios o acceso pueden variar.</t>
        </is>
      </c>
      <c r="AY13" s="16" t="inlineStr">
        <is>
          <t>Reconfirmar en la web oficial al fijar fechas.</t>
        </is>
      </c>
    </row>
    <row r="14" ht="66" customHeight="1">
      <c r="A14" s="16" t="inlineStr">
        <is>
          <t>JP-013</t>
        </is>
      </c>
      <c r="B14" s="16" t="inlineStr">
        <is>
          <t>Tokio</t>
        </is>
      </c>
      <c r="C14" s="16" t="inlineStr">
        <is>
          <t>Kanto</t>
        </is>
      </c>
      <c r="D14" s="16" t="inlineStr">
        <is>
          <t>Tokio</t>
        </is>
      </c>
      <c r="E14" s="16" t="inlineStr">
        <is>
          <t>Shinjuku</t>
        </is>
      </c>
      <c r="F14" s="16" t="inlineStr">
        <is>
          <t>Kabukicho</t>
        </is>
      </c>
      <c r="G14" s="16" t="inlineStr">
        <is>
          <t>Shinjuku</t>
        </is>
      </c>
      <c r="H14" s="16" t="inlineStr">
        <is>
          <t>Golden Gai</t>
        </is>
      </c>
      <c r="I14" s="16" t="inlineStr">
        <is>
          <t>新宿ゴールデン街</t>
        </is>
      </c>
      <c r="J14" s="16" t="inlineStr">
        <is>
          <t>Golden Gai</t>
        </is>
      </c>
      <c r="K14" s="16" t="inlineStr">
        <is>
          <t>🌃 Nocturno</t>
        </is>
      </c>
      <c r="L14" s="16" t="inlineStr">
        <is>
          <t>microbarrio de bares</t>
        </is>
      </c>
      <c r="M14" s="16" t="inlineStr">
        <is>
          <t>A</t>
        </is>
      </c>
      <c r="N14" s="16" t="inlineStr">
        <is>
          <t>Conserva una escala diminuta y un paisaje nocturno irrepetible.</t>
        </is>
      </c>
      <c r="O14" s="16" t="inlineStr">
        <is>
          <t>Red de callejones con cientos de bares minúsculos.</t>
        </is>
      </c>
      <c r="P14" s="16" t="inlineStr">
        <is>
          <t>La arquitectura apretada y el trato de barra no se replican en un distrito moderno.</t>
        </is>
      </c>
      <c r="Q14" s="16" t="inlineStr">
        <is>
          <t>Red de callejones con cientos de bares minúsculos.</t>
        </is>
      </c>
      <c r="R14" s="16" t="inlineStr">
        <is>
          <t>1.5–3 h</t>
        </is>
      </c>
      <c r="S14" s="16" t="inlineStr">
        <is>
          <t>Noche</t>
        </is>
      </c>
      <c r="T14" s="16" t="inlineStr">
        <is>
          <t>Todo el año</t>
        </is>
      </c>
      <c r="U14" s="16" t="inlineStr">
        <is>
          <t>Alto</t>
        </is>
      </c>
      <c r="V14" s="16" t="inlineStr">
        <is>
          <t>Alto</t>
        </is>
      </c>
      <c r="W14" s="89" t="n">
        <v>1000</v>
      </c>
      <c r="X14" s="89" t="n">
        <v>5000</v>
      </c>
      <c r="Y14" s="89">
        <f>W14*'Configuración'!$B$4</f>
        <v/>
      </c>
      <c r="Z14" s="89">
        <f>X14*'Configuración'!$B$4</f>
        <v/>
      </c>
      <c r="AA14" s="16" t="inlineStr">
        <is>
          <t>Recomendable</t>
        </is>
      </c>
      <c r="AB14" s="16" t="inlineStr">
        <is>
          <t>Mismo día o pocos días en bares populares</t>
        </is>
      </c>
      <c r="AC14" s="16" t="inlineStr">
        <is>
          <t>Desde tarde hasta madrugada</t>
        </is>
      </c>
      <c r="AD14" s="16" t="inlineStr">
        <is>
          <t>Según bar</t>
        </is>
      </c>
      <c r="AE14" s="16" t="inlineStr">
        <is>
          <t>Shinjuku-sanchome / Seibu-Shinjuku</t>
        </is>
      </c>
      <c r="AF14" s="16" t="inlineStr">
        <is>
          <t>Buena en áreas principales; confirmar detalles con el recinto</t>
        </is>
      </c>
      <c r="AG14" s="90" t="n">
        <v>35.6941</v>
      </c>
      <c r="AH14" s="90" t="n">
        <v>139.7048</v>
      </c>
      <c r="AI14" s="16" t="inlineStr">
        <is>
          <t>https://www.gotokyo.org/en/index.html</t>
        </is>
      </c>
      <c r="AJ14" s="16" t="inlineStr">
        <is>
          <t>Cambiante</t>
        </is>
      </c>
      <c r="AK14" s="16" t="inlineStr">
        <is>
          <t>NIGHT</t>
        </is>
      </c>
      <c r="AL14" s="16" t="inlineStr">
        <is>
          <t>pareja, noche, fotografía, cultura local</t>
        </is>
      </c>
      <c r="AM14" s="91" t="n">
        <v>5</v>
      </c>
      <c r="AN14" s="91" t="n">
        <v>5</v>
      </c>
      <c r="AO14" s="91" t="n">
        <v>4</v>
      </c>
      <c r="AP14" s="91" t="n">
        <v>4</v>
      </c>
      <c r="AQ14" s="16" t="inlineStr">
        <is>
          <t>Imagen ideal: la arquitectura apretada y el trato de barra no se replican en un distrito moderno. con luz de noche, sin multitudes dominando el encuadre.</t>
        </is>
      </c>
      <c r="AR14" s="16" t="inlineStr">
        <is>
          <t>Kabukicho (~3 min a pie) | Omoide Yokocho (~7 min a pie) | Shinjuku Gyoen National Garden (~15 min a pie)</t>
        </is>
      </c>
      <c r="AS14" s="16" t="inlineStr">
        <is>
          <t>Popular / turístico</t>
        </is>
      </c>
      <c r="AT14" s="16" t="str"/>
      <c r="AU14" s="16" t="inlineStr">
        <is>
          <t>https://www.google.com/maps/search/?api=1&amp;query=Golden%20Gai%2C%20Shinjuku%2C%20Japan</t>
        </is>
      </c>
      <c r="AV14" s="16" t="inlineStr">
        <is>
          <t>2026-09-01</t>
        </is>
      </c>
      <c r="AW14" s="16" t="inlineStr">
        <is>
          <t>CALENDARIO / CONDICIÓN PENDIENTE</t>
        </is>
      </c>
      <c r="AX14" s="16" t="inlineStr">
        <is>
          <t>No hay cierre específico confirmado para la ventana, pero horarios o acceso pueden variar.</t>
        </is>
      </c>
      <c r="AY14" s="16" t="inlineStr">
        <is>
          <t>Reconfirmar en la web oficial al fijar fechas.</t>
        </is>
      </c>
    </row>
    <row r="15" ht="66" customHeight="1">
      <c r="A15" s="16" t="inlineStr">
        <is>
          <t>JP-014</t>
        </is>
      </c>
      <c r="B15" s="16" t="inlineStr">
        <is>
          <t>Tokio</t>
        </is>
      </c>
      <c r="C15" s="16" t="inlineStr">
        <is>
          <t>Kanto</t>
        </is>
      </c>
      <c r="D15" s="16" t="inlineStr">
        <is>
          <t>Tokio</t>
        </is>
      </c>
      <c r="E15" s="16" t="inlineStr">
        <is>
          <t>Shinjuku</t>
        </is>
      </c>
      <c r="F15" s="16" t="inlineStr">
        <is>
          <t>Nishi-Shinjuku</t>
        </is>
      </c>
      <c r="G15" s="16" t="inlineStr">
        <is>
          <t>Shinjuku</t>
        </is>
      </c>
      <c r="H15" s="16" t="inlineStr">
        <is>
          <t>Omoide Yokocho</t>
        </is>
      </c>
      <c r="I15" s="16" t="inlineStr">
        <is>
          <t>思い出横丁</t>
        </is>
      </c>
      <c r="J15" s="16" t="inlineStr">
        <is>
          <t>Omoide Yokocho</t>
        </is>
      </c>
      <c r="K15" s="16" t="inlineStr">
        <is>
          <t>🍜 Gastronomía</t>
        </is>
      </c>
      <c r="L15" s="16" t="inlineStr">
        <is>
          <t>callejón gastronómico</t>
        </is>
      </c>
      <c r="M15" s="16" t="inlineStr">
        <is>
          <t>B</t>
        </is>
      </c>
      <c r="N15" s="16" t="inlineStr">
        <is>
          <t>Atmosférico y cómodo, aunque hoy es muy turístico y pequeño.</t>
        </is>
      </c>
      <c r="O15" s="16" t="inlineStr">
        <is>
          <t>Callejones de yakitori y tabernas junto a las vías.</t>
        </is>
      </c>
      <c r="P15" s="16" t="inlineStr">
        <is>
          <t>Humo, escala y densidad visual de posguerra en pleno Shinjuku.</t>
        </is>
      </c>
      <c r="Q15" s="16" t="inlineStr">
        <is>
          <t>Callejones de yakitori y tabernas junto a las vías.</t>
        </is>
      </c>
      <c r="R15" s="16" t="inlineStr">
        <is>
          <t>45–90 min</t>
        </is>
      </c>
      <c r="S15" s="16" t="inlineStr">
        <is>
          <t>Noche</t>
        </is>
      </c>
      <c r="T15" s="16" t="inlineStr">
        <is>
          <t>Todo el año</t>
        </is>
      </c>
      <c r="U15" s="16" t="inlineStr">
        <is>
          <t>Extremo</t>
        </is>
      </c>
      <c r="V15" s="16" t="inlineStr">
        <is>
          <t>Extremo</t>
        </is>
      </c>
      <c r="W15" s="89" t="n">
        <v>1500</v>
      </c>
      <c r="X15" s="89" t="n">
        <v>5000</v>
      </c>
      <c r="Y15" s="89">
        <f>W15*'Configuración'!$B$4</f>
        <v/>
      </c>
      <c r="Z15" s="89">
        <f>X15*'Configuración'!$B$4</f>
        <v/>
      </c>
      <c r="AA15" s="16" t="inlineStr">
        <is>
          <t>No</t>
        </is>
      </c>
      <c r="AB15" s="16" t="inlineStr">
        <is>
          <t>—</t>
        </is>
      </c>
      <c r="AC15" s="16" t="inlineStr">
        <is>
          <t>Según local, tarde–noche</t>
        </is>
      </c>
      <c r="AD15" s="16" t="inlineStr">
        <is>
          <t>Según local</t>
        </is>
      </c>
      <c r="AE15" s="16" t="inlineStr">
        <is>
          <t>JR Shinjuku, salida oeste</t>
        </is>
      </c>
      <c r="AF15" s="16" t="inlineStr">
        <is>
          <t>Buena en áreas principales; confirmar detalles con el recinto</t>
        </is>
      </c>
      <c r="AG15" s="90" t="n">
        <v>35.6929</v>
      </c>
      <c r="AH15" s="90" t="n">
        <v>139.6996</v>
      </c>
      <c r="AI15" s="16" t="inlineStr">
        <is>
          <t>https://www.gotokyo.org/en/index.html</t>
        </is>
      </c>
      <c r="AJ15" s="16" t="inlineStr">
        <is>
          <t>Cambiante</t>
        </is>
      </c>
      <c r="AK15" s="16" t="inlineStr">
        <is>
          <t>FOOD / NIGHT</t>
        </is>
      </c>
      <c r="AL15" s="16" t="inlineStr">
        <is>
          <t>comida, noche, fotografía</t>
        </is>
      </c>
      <c r="AM15" s="91" t="n">
        <v>5</v>
      </c>
      <c r="AN15" s="91" t="n">
        <v>3</v>
      </c>
      <c r="AO15" s="91" t="n">
        <v>3</v>
      </c>
      <c r="AP15" s="91" t="n">
        <v>5</v>
      </c>
      <c r="AQ15" s="16" t="inlineStr">
        <is>
          <t>Imagen ideal: humo, escala y densidad visual de posguerra en pleno shinjuku. con luz de noche, sin multitudes dominando el encuadre.</t>
        </is>
      </c>
      <c r="AR15" s="16" t="inlineStr">
        <is>
          <t>Kabukicho (~5 min a pie) | Golden Gai (~7 min a pie) | Tokyo Metropolitan Government Observatory (~11 min a pie)</t>
        </is>
      </c>
      <c r="AS15" s="16" t="inlineStr">
        <is>
          <t>Popular / turístico</t>
        </is>
      </c>
      <c r="AT15" s="16" t="str"/>
      <c r="AU15" s="16" t="inlineStr">
        <is>
          <t>https://www.google.com/maps/search/?api=1&amp;query=Omoide%20Yokocho%2C%20Shinjuku%2C%20Japan</t>
        </is>
      </c>
      <c r="AV15" s="16" t="inlineStr">
        <is>
          <t>2026-09-01</t>
        </is>
      </c>
      <c r="AW15" s="16" t="inlineStr">
        <is>
          <t>CALENDARIO / CONDICIÓN PENDIENTE</t>
        </is>
      </c>
      <c r="AX15" s="16" t="inlineStr">
        <is>
          <t>No hay cierre específico confirmado para la ventana, pero horarios o acceso pueden variar.</t>
        </is>
      </c>
      <c r="AY15" s="16" t="inlineStr">
        <is>
          <t>Reconfirmar en la web oficial al fijar fechas.</t>
        </is>
      </c>
    </row>
    <row r="16" ht="66" customHeight="1">
      <c r="A16" s="16" t="inlineStr">
        <is>
          <t>JP-015</t>
        </is>
      </c>
      <c r="B16" s="16" t="inlineStr">
        <is>
          <t>Tokio</t>
        </is>
      </c>
      <c r="C16" s="16" t="inlineStr">
        <is>
          <t>Kanto</t>
        </is>
      </c>
      <c r="D16" s="16" t="inlineStr">
        <is>
          <t>Tokio</t>
        </is>
      </c>
      <c r="E16" s="16" t="inlineStr">
        <is>
          <t>Shinjuku</t>
        </is>
      </c>
      <c r="F16" s="16" t="inlineStr">
        <is>
          <t>Kagurazaka</t>
        </is>
      </c>
      <c r="G16" s="16" t="inlineStr">
        <is>
          <t>Kagurazaka</t>
        </is>
      </c>
      <c r="H16" s="16" t="inlineStr">
        <is>
          <t>Kagurazaka backstreets</t>
        </is>
      </c>
      <c r="I16" s="16" t="inlineStr">
        <is>
          <t>神楽坂</t>
        </is>
      </c>
      <c r="J16" s="16" t="inlineStr">
        <is>
          <t>Kagurazaka backstreets</t>
        </is>
      </c>
      <c r="K16" s="16" t="inlineStr">
        <is>
          <t>🏙️ Ciudad y barrios</t>
        </is>
      </c>
      <c r="L16" s="16" t="inlineStr">
        <is>
          <t>barrio</t>
        </is>
      </c>
      <c r="M16" s="16" t="inlineStr">
        <is>
          <t>A</t>
        </is>
      </c>
      <c r="N16" s="16" t="inlineStr">
        <is>
          <t>Alternativa elegante y menos obvia a los barrios tradicionales más saturados.</t>
        </is>
      </c>
      <c r="O16" s="16" t="inlineStr">
        <is>
          <t>Pendiente principal y callejones de piedra con restaurantes y antiguas casas de geisha.</t>
        </is>
      </c>
      <c r="P16" s="16" t="inlineStr">
        <is>
          <t>Mezcla herencia japonesa, influencia francesa y vida residencial.</t>
        </is>
      </c>
      <c r="Q16" s="16" t="inlineStr">
        <is>
          <t>Pendiente principal y callejones de piedra con restaurantes y antiguas casas de geisha.</t>
        </is>
      </c>
      <c r="R16" s="16" t="inlineStr">
        <is>
          <t>2–3 h</t>
        </is>
      </c>
      <c r="S16" s="16" t="inlineStr">
        <is>
          <t>Tarde</t>
        </is>
      </c>
      <c r="T16" s="16" t="inlineStr">
        <is>
          <t>Todo el año</t>
        </is>
      </c>
      <c r="U16" s="16" t="inlineStr">
        <is>
          <t>Medio</t>
        </is>
      </c>
      <c r="V16" s="16" t="inlineStr">
        <is>
          <t>Bajo</t>
        </is>
      </c>
      <c r="W16" s="89" t="n">
        <v>0</v>
      </c>
      <c r="X16" s="89" t="n">
        <v>0</v>
      </c>
      <c r="Y16" s="89">
        <f>W16*'Configuración'!$B$4</f>
        <v/>
      </c>
      <c r="Z16" s="89">
        <f>X16*'Configuración'!$B$4</f>
        <v/>
      </c>
      <c r="AA16" s="16" t="inlineStr">
        <is>
          <t>No</t>
        </is>
      </c>
      <c r="AB16" s="16" t="inlineStr">
        <is>
          <t>—</t>
        </is>
      </c>
      <c r="AC16" s="16" t="inlineStr">
        <is>
          <t>Espacio público; negocios variables</t>
        </is>
      </c>
      <c r="AD16" s="16" t="inlineStr">
        <is>
          <t>Sin cierre</t>
        </is>
      </c>
      <c r="AE16" s="16" t="inlineStr">
        <is>
          <t>Iidabashi / Kagurazaka</t>
        </is>
      </c>
      <c r="AF16" s="16" t="inlineStr">
        <is>
          <t>Buena en áreas principales; confirmar detalles con el recinto</t>
        </is>
      </c>
      <c r="AG16" s="90" t="n">
        <v>35.7016</v>
      </c>
      <c r="AH16" s="90" t="n">
        <v>139.7403</v>
      </c>
      <c r="AI16" s="16" t="inlineStr">
        <is>
          <t>https://www.gotokyo.org/en/index.html</t>
        </is>
      </c>
      <c r="AJ16" s="16" t="inlineStr">
        <is>
          <t>Cambiante</t>
        </is>
      </c>
      <c r="AK16" s="16" t="inlineStr">
        <is>
          <t>HIDDEN GEM</t>
        </is>
      </c>
      <c r="AL16" s="16" t="inlineStr">
        <is>
          <t>pareja, comida, arquitectura, noche</t>
        </is>
      </c>
      <c r="AM16" s="91" t="n">
        <v>4</v>
      </c>
      <c r="AN16" s="91" t="n">
        <v>5</v>
      </c>
      <c r="AO16" s="91" t="n">
        <v>5</v>
      </c>
      <c r="AP16" s="91" t="n">
        <v>2</v>
      </c>
      <c r="AQ16" s="16" t="inlineStr">
        <is>
          <t>Imagen ideal: mezcla herencia japonesa, influencia francesa y vida residencial. con luz de tarde, sin multitudes dominando el encuadre.</t>
        </is>
      </c>
      <c r="AR16" s="16" t="inlineStr">
        <is>
          <t>Jimbocho Book Town (~24 min a pie) | Imperial Palace East Gardens (~30 min en transporte) | Kanda Myojin (~35 min en transporte)</t>
        </is>
      </c>
      <c r="AS16" s="16" t="inlineStr">
        <is>
          <t>Semi-hidden</t>
        </is>
      </c>
      <c r="AT16" s="16" t="str"/>
      <c r="AU16" s="16" t="inlineStr">
        <is>
          <t>https://www.google.com/maps/search/?api=1&amp;query=Kagurazaka%20backstreets%2C%20Shinjuku%2C%20Japan</t>
        </is>
      </c>
      <c r="AV16" s="16" t="inlineStr">
        <is>
          <t>2026-09-01</t>
        </is>
      </c>
      <c r="AW16" s="16" t="inlineStr">
        <is>
          <t>CALENDARIO / CONDICIÓN PENDIENTE</t>
        </is>
      </c>
      <c r="AX16" s="16" t="inlineStr">
        <is>
          <t>No hay cierre específico confirmado para la ventana, pero horarios o acceso pueden variar.</t>
        </is>
      </c>
      <c r="AY16" s="16" t="inlineStr">
        <is>
          <t>Reconfirmar en la web oficial al fijar fechas.</t>
        </is>
      </c>
    </row>
    <row r="17" ht="66" customHeight="1">
      <c r="A17" s="16" t="inlineStr">
        <is>
          <t>JP-016</t>
        </is>
      </c>
      <c r="B17" s="16" t="inlineStr">
        <is>
          <t>Tokio</t>
        </is>
      </c>
      <c r="C17" s="16" t="inlineStr">
        <is>
          <t>Kanto</t>
        </is>
      </c>
      <c r="D17" s="16" t="inlineStr">
        <is>
          <t>Tokio</t>
        </is>
      </c>
      <c r="E17" s="16" t="inlineStr">
        <is>
          <t>Taito</t>
        </is>
      </c>
      <c r="F17" s="16" t="inlineStr">
        <is>
          <t>Asakusa</t>
        </is>
      </c>
      <c r="G17" s="16" t="inlineStr">
        <is>
          <t>Asakusa</t>
        </is>
      </c>
      <c r="H17" s="16" t="inlineStr">
        <is>
          <t>Sensō-ji</t>
        </is>
      </c>
      <c r="I17" s="16" t="inlineStr">
        <is>
          <t>浅草寺</t>
        </is>
      </c>
      <c r="J17" s="16" t="inlineStr">
        <is>
          <t>Sensō-ji</t>
        </is>
      </c>
      <c r="K17" s="16" t="inlineStr">
        <is>
          <t>⛩️ Templos y santuarios</t>
        </is>
      </c>
      <c r="L17" s="16" t="inlineStr">
        <is>
          <t>templo</t>
        </is>
      </c>
      <c r="M17" s="16" t="inlineStr">
        <is>
          <t>A</t>
        </is>
      </c>
      <c r="N17" s="16" t="inlineStr">
        <is>
          <t>Icono histórico con escala, rituales y vida de barrio que justifican la multitud. Clasificación v2: excelente y muy recomendable, pero no justifica por sí sola adaptar la ruta.</t>
        </is>
      </c>
      <c r="O17" s="16" t="inlineStr">
        <is>
          <t>El templo budista más antiguo de Tokio, con Kaminarimon y gran recinto.</t>
        </is>
      </c>
      <c r="P17" s="16" t="inlineStr">
        <is>
          <t>La experiencia cambia radicalmente antes de abrir comercios y por la noche.</t>
        </is>
      </c>
      <c r="Q17" s="16" t="inlineStr">
        <is>
          <t>El templo budista más antiguo de Tokio, con Kaminarimon y gran recinto.</t>
        </is>
      </c>
      <c r="R17" s="16" t="inlineStr">
        <is>
          <t>1–2 h</t>
        </is>
      </c>
      <c r="S17" s="16" t="inlineStr">
        <is>
          <t>Mañana</t>
        </is>
      </c>
      <c r="T17" s="16" t="inlineStr">
        <is>
          <t>Todo el año</t>
        </is>
      </c>
      <c r="U17" s="16" t="inlineStr">
        <is>
          <t>Extremo</t>
        </is>
      </c>
      <c r="V17" s="16" t="inlineStr">
        <is>
          <t>Extremo</t>
        </is>
      </c>
      <c r="W17" s="89" t="n">
        <v>0</v>
      </c>
      <c r="X17" s="89" t="n">
        <v>0</v>
      </c>
      <c r="Y17" s="89">
        <f>W17*'Configuración'!$B$4</f>
        <v/>
      </c>
      <c r="Z17" s="89">
        <f>X17*'Configuración'!$B$4</f>
        <v/>
      </c>
      <c r="AA17" s="16" t="inlineStr">
        <is>
          <t>No</t>
        </is>
      </c>
      <c r="AB17" s="16" t="inlineStr">
        <is>
          <t>—</t>
        </is>
      </c>
      <c r="AC17" s="16" t="inlineStr">
        <is>
          <t>Recinto exterior 24 h; salón aprox. 06:00–17:00</t>
        </is>
      </c>
      <c r="AD17" s="16" t="inlineStr">
        <is>
          <t>Sin cierre ordinario</t>
        </is>
      </c>
      <c r="AE17" s="16" t="inlineStr">
        <is>
          <t>Metro Asakusa</t>
        </is>
      </c>
      <c r="AF17" s="16" t="inlineStr">
        <is>
          <t>Parcial; pueden existir escalones, grava o edificios sin elevador</t>
        </is>
      </c>
      <c r="AG17" s="90" t="n">
        <v>35.7148</v>
      </c>
      <c r="AH17" s="90" t="n">
        <v>139.7967</v>
      </c>
      <c r="AI17" s="16" t="inlineStr">
        <is>
          <t>https://www.senso-ji.jp/english/</t>
        </is>
      </c>
      <c r="AJ17" s="16" t="inlineStr">
        <is>
          <t>Cambiante</t>
        </is>
      </c>
      <c r="AK17" s="16" t="inlineStr">
        <is>
          <t>MUST SEE</t>
        </is>
      </c>
      <c r="AL17" s="16" t="inlineStr">
        <is>
          <t>cultura, fotografía, historia</t>
        </is>
      </c>
      <c r="AM17" s="91" t="n">
        <v>5</v>
      </c>
      <c r="AN17" s="91" t="n">
        <v>4</v>
      </c>
      <c r="AO17" s="91" t="n">
        <v>5</v>
      </c>
      <c r="AP17" s="91" t="n">
        <v>5</v>
      </c>
      <c r="AQ17" s="16" t="inlineStr">
        <is>
          <t>Imagen ideal: la experiencia cambia radicalmente antes de abrir comercios y por la noche. con luz de mañana, sin multitudes dominando el encuadre.</t>
        </is>
      </c>
      <c r="AR17" s="16" t="inlineStr">
        <is>
          <t>Asakusa Culture Tourist Information Center (~6 min a pie) | Kappabashi Kitchen Town (~10 min a pie) | Tokyo Skytree (~19 min a pie)</t>
        </is>
      </c>
      <c r="AS17" s="16" t="inlineStr">
        <is>
          <t>Popular / turístico</t>
        </is>
      </c>
      <c r="AT17" s="16" t="str"/>
      <c r="AU17" s="16" t="inlineStr">
        <is>
          <t>https://www.google.com/maps/search/?api=1&amp;query=Sens%C5%8D-ji%2C%20Taito%2C%20Japan</t>
        </is>
      </c>
      <c r="AV17" s="16" t="inlineStr">
        <is>
          <t>2026-09-01</t>
        </is>
      </c>
      <c r="AW17" s="16" t="inlineStr">
        <is>
          <t>CALENDARIO / CONDICIÓN PENDIENTE</t>
        </is>
      </c>
      <c r="AX17" s="16" t="inlineStr">
        <is>
          <t>No hay cierre específico confirmado para la ventana, pero horarios o acceso pueden variar.</t>
        </is>
      </c>
      <c r="AY17" s="16" t="inlineStr">
        <is>
          <t>Reconfirmar en la web oficial al fijar fechas.</t>
        </is>
      </c>
    </row>
    <row r="18" ht="66" customHeight="1">
      <c r="A18" s="16" t="inlineStr">
        <is>
          <t>JP-017</t>
        </is>
      </c>
      <c r="B18" s="16" t="inlineStr">
        <is>
          <t>Tokio</t>
        </is>
      </c>
      <c r="C18" s="16" t="inlineStr">
        <is>
          <t>Kanto</t>
        </is>
      </c>
      <c r="D18" s="16" t="inlineStr">
        <is>
          <t>Tokio</t>
        </is>
      </c>
      <c r="E18" s="16" t="inlineStr">
        <is>
          <t>Taito</t>
        </is>
      </c>
      <c r="F18" s="16" t="inlineStr">
        <is>
          <t>Asakusa</t>
        </is>
      </c>
      <c r="G18" s="16" t="inlineStr">
        <is>
          <t>Asakusa</t>
        </is>
      </c>
      <c r="H18" s="16" t="inlineStr">
        <is>
          <t>Asakusa Culture Tourist Information Center</t>
        </is>
      </c>
      <c r="I18" s="16" t="inlineStr">
        <is>
          <t>浅草文化観光センター</t>
        </is>
      </c>
      <c r="J18" s="16" t="inlineStr">
        <is>
          <t>Asakusa Culture Tourist Information Center</t>
        </is>
      </c>
      <c r="K18" s="16" t="inlineStr">
        <is>
          <t>🌅 Miradores</t>
        </is>
      </c>
      <c r="L18" s="16" t="inlineStr">
        <is>
          <t>centro/mirador</t>
        </is>
      </c>
      <c r="M18" s="16" t="inlineStr">
        <is>
          <t>A</t>
        </is>
      </c>
      <c r="N18" s="16" t="inlineStr">
        <is>
          <t>Vista gratuita y perfectamente situada sobre Kaminarimon y Nakamise.</t>
        </is>
      </c>
      <c r="O18" s="16" t="inlineStr">
        <is>
          <t>Centro de información de Kengo Kuma con terraza panorámica.</t>
        </is>
      </c>
      <c r="P18" s="16" t="inlineStr">
        <is>
          <t>Permite leer la geometría de Asakusa sin pagar observatorio.</t>
        </is>
      </c>
      <c r="Q18" s="16" t="inlineStr">
        <is>
          <t>Centro de información de Kengo Kuma con terraza panorámica.</t>
        </is>
      </c>
      <c r="R18" s="16" t="inlineStr">
        <is>
          <t>20–45 min</t>
        </is>
      </c>
      <c r="S18" s="16" t="inlineStr">
        <is>
          <t>Atardecer</t>
        </is>
      </c>
      <c r="T18" s="16" t="inlineStr">
        <is>
          <t>Todo el año</t>
        </is>
      </c>
      <c r="U18" s="16" t="inlineStr">
        <is>
          <t>Medio</t>
        </is>
      </c>
      <c r="V18" s="16" t="inlineStr">
        <is>
          <t>Medio</t>
        </is>
      </c>
      <c r="W18" s="89" t="n">
        <v>0</v>
      </c>
      <c r="X18" s="89" t="n">
        <v>0</v>
      </c>
      <c r="Y18" s="89">
        <f>W18*'Configuración'!$B$4</f>
        <v/>
      </c>
      <c r="Z18" s="89">
        <f>X18*'Configuración'!$B$4</f>
        <v/>
      </c>
      <c r="AA18" s="16" t="inlineStr">
        <is>
          <t>No</t>
        </is>
      </c>
      <c r="AB18" s="16" t="inlineStr">
        <is>
          <t>—</t>
        </is>
      </c>
      <c r="AC18" s="16" t="inlineStr">
        <is>
          <t>Aprox. 09:00–20:00</t>
        </is>
      </c>
      <c r="AD18" s="16" t="inlineStr">
        <is>
          <t>Sin cierre ordinario</t>
        </is>
      </c>
      <c r="AE18" s="16" t="inlineStr">
        <is>
          <t>Metro Asakusa, frente a Kaminarimon</t>
        </is>
      </c>
      <c r="AF18" s="16" t="inlineStr">
        <is>
          <t>Buena en áreas principales; confirmar detalles con el recinto</t>
        </is>
      </c>
      <c r="AG18" s="90" t="n">
        <v>35.7107</v>
      </c>
      <c r="AH18" s="90" t="n">
        <v>139.7966</v>
      </c>
      <c r="AI18" s="16" t="inlineStr">
        <is>
          <t>https://www.city.taito.lg.jp/bunka_kanko/kankoinfo/info/oyakudachi/kankocenter/a-tic-gaiyo.html</t>
        </is>
      </c>
      <c r="AJ18" s="16" t="inlineStr">
        <is>
          <t>Cambiante</t>
        </is>
      </c>
      <c r="AK18" s="16" t="inlineStr">
        <is>
          <t>VALUE</t>
        </is>
      </c>
      <c r="AL18" s="16" t="inlineStr">
        <is>
          <t>arquitectura, fotografía, presupuesto</t>
        </is>
      </c>
      <c r="AM18" s="91" t="n">
        <v>4</v>
      </c>
      <c r="AN18" s="91" t="n">
        <v>4</v>
      </c>
      <c r="AO18" s="91" t="n">
        <v>5</v>
      </c>
      <c r="AP18" s="91" t="n">
        <v>2</v>
      </c>
      <c r="AQ18" s="16" t="inlineStr">
        <is>
          <t>Imagen ideal: permite leer la geometría de asakusa sin pagar observatorio. con luz de atardecer, sin multitudes dominando el encuadre.</t>
        </is>
      </c>
      <c r="AR18" s="16" t="inlineStr">
        <is>
          <t>Sensō-ji (~6 min a pie) | Kappabashi Kitchen Town (~13 min a pie) | Tokyo Skytree (~18 min a pie)</t>
        </is>
      </c>
      <c r="AS18" s="16" t="inlineStr">
        <is>
          <t>Hidden Gem real</t>
        </is>
      </c>
      <c r="AT18" s="16" t="str"/>
      <c r="AU18" s="16" t="inlineStr">
        <is>
          <t>https://www.google.com/maps/search/?api=1&amp;query=Asakusa%20Culture%20Tourist%20Information%20Center%2C%20Taito%2C%20Japan</t>
        </is>
      </c>
      <c r="AV18" s="16" t="inlineStr">
        <is>
          <t>2026-09-01</t>
        </is>
      </c>
      <c r="AW18" s="16" t="inlineStr">
        <is>
          <t>CALENDARIO / CONDICIÓN PENDIENTE</t>
        </is>
      </c>
      <c r="AX18" s="16" t="inlineStr">
        <is>
          <t>No hay cierre específico confirmado para la ventana, pero horarios o acceso pueden variar.</t>
        </is>
      </c>
      <c r="AY18" s="16" t="inlineStr">
        <is>
          <t>Reconfirmar en la web oficial al fijar fechas.</t>
        </is>
      </c>
    </row>
    <row r="19" ht="66" customHeight="1">
      <c r="A19" s="16" t="inlineStr">
        <is>
          <t>JP-018</t>
        </is>
      </c>
      <c r="B19" s="16" t="inlineStr">
        <is>
          <t>Tokio</t>
        </is>
      </c>
      <c r="C19" s="16" t="inlineStr">
        <is>
          <t>Kanto</t>
        </is>
      </c>
      <c r="D19" s="16" t="inlineStr">
        <is>
          <t>Tokio</t>
        </is>
      </c>
      <c r="E19" s="16" t="inlineStr">
        <is>
          <t>Taito</t>
        </is>
      </c>
      <c r="F19" s="16" t="inlineStr">
        <is>
          <t>Kappabashi</t>
        </is>
      </c>
      <c r="G19" s="16" t="inlineStr">
        <is>
          <t>Asakusa</t>
        </is>
      </c>
      <c r="H19" s="16" t="inlineStr">
        <is>
          <t>Kappabashi Kitchen Town</t>
        </is>
      </c>
      <c r="I19" s="16" t="inlineStr">
        <is>
          <t>かっぱ橋道具街</t>
        </is>
      </c>
      <c r="J19" s="16" t="inlineStr">
        <is>
          <t>Kappabashi Kitchen Town</t>
        </is>
      </c>
      <c r="K19" s="16" t="inlineStr">
        <is>
          <t>🛍️ Compras</t>
        </is>
      </c>
      <c r="L19" s="16" t="inlineStr">
        <is>
          <t>calle comercial especializada</t>
        </is>
      </c>
      <c r="M19" s="16" t="inlineStr">
        <is>
          <t>A</t>
        </is>
      </c>
      <c r="N19" s="16" t="inlineStr">
        <is>
          <t>Especialización real y objetos japoneses útiles, no solo recuerdos genéricos.</t>
        </is>
      </c>
      <c r="O19" s="16" t="inlineStr">
        <is>
          <t>Distrito de cuchillos, cerámica, utensilios y comida de plástico.</t>
        </is>
      </c>
      <c r="P19" s="16" t="inlineStr">
        <is>
          <t>Muestra la infraestructura de la gastronomía japonesa.</t>
        </is>
      </c>
      <c r="Q19" s="16" t="inlineStr">
        <is>
          <t>Distrito de cuchillos, cerámica, utensilios y comida de plástico.</t>
        </is>
      </c>
      <c r="R19" s="16" t="inlineStr">
        <is>
          <t>1.5–3 h</t>
        </is>
      </c>
      <c r="S19" s="16" t="inlineStr">
        <is>
          <t>Tarde</t>
        </is>
      </c>
      <c r="T19" s="16" t="inlineStr">
        <is>
          <t>Días laborables</t>
        </is>
      </c>
      <c r="U19" s="16" t="inlineStr">
        <is>
          <t>Medio</t>
        </is>
      </c>
      <c r="V19" s="16" t="inlineStr">
        <is>
          <t>Medio</t>
        </is>
      </c>
      <c r="W19" s="89" t="n">
        <v>0</v>
      </c>
      <c r="X19" s="89" t="n">
        <v>0</v>
      </c>
      <c r="Y19" s="89">
        <f>W19*'Configuración'!$B$4</f>
        <v/>
      </c>
      <c r="Z19" s="89">
        <f>X19*'Configuración'!$B$4</f>
        <v/>
      </c>
      <c r="AA19" s="16" t="inlineStr">
        <is>
          <t>No</t>
        </is>
      </c>
      <c r="AB19" s="16" t="inlineStr">
        <is>
          <t>—</t>
        </is>
      </c>
      <c r="AC19" s="16" t="inlineStr">
        <is>
          <t>Mayoría 09:00–17:00</t>
        </is>
      </c>
      <c r="AD19" s="16" t="inlineStr">
        <is>
          <t>Muchos domingos/festivos</t>
        </is>
      </c>
      <c r="AE19" s="16" t="inlineStr">
        <is>
          <t>Tawaramachi / Asakusa</t>
        </is>
      </c>
      <c r="AF19" s="16" t="inlineStr">
        <is>
          <t>Buena en áreas principales; confirmar detalles con el recinto</t>
        </is>
      </c>
      <c r="AG19" s="90" t="n">
        <v>35.7157</v>
      </c>
      <c r="AH19" s="90" t="n">
        <v>139.7885</v>
      </c>
      <c r="AI19" s="16" t="inlineStr">
        <is>
          <t>https://www.kappabashi.or.jp/en/</t>
        </is>
      </c>
      <c r="AJ19" s="16" t="inlineStr">
        <is>
          <t>Cambiante</t>
        </is>
      </c>
      <c r="AK19" s="16" t="inlineStr">
        <is>
          <t>HIDDEN GEM</t>
        </is>
      </c>
      <c r="AL19" s="16" t="inlineStr">
        <is>
          <t>comida, compras, diseño</t>
        </is>
      </c>
      <c r="AM19" s="91" t="n">
        <v>4</v>
      </c>
      <c r="AN19" s="91" t="n">
        <v>5</v>
      </c>
      <c r="AO19" s="91" t="n">
        <v>5</v>
      </c>
      <c r="AP19" s="91" t="n">
        <v>2</v>
      </c>
      <c r="AQ19" s="16" t="inlineStr">
        <is>
          <t>Imagen ideal: muestra la infraestructura de la gastronomía japonesa. con luz de tarde, sin multitudes dominando el encuadre.</t>
        </is>
      </c>
      <c r="AR19" s="16" t="inlineStr">
        <is>
          <t>Sensō-ji (~10 min a pie) | Asakusa Culture Tourist Information Center (~13 min a pie) | Tokyo National Museum (~16 min a pie)</t>
        </is>
      </c>
      <c r="AS19" s="16" t="inlineStr">
        <is>
          <t>Semi-hidden</t>
        </is>
      </c>
      <c r="AT19" s="16" t="str"/>
      <c r="AU19" s="16" t="inlineStr">
        <is>
          <t>https://www.google.com/maps/search/?api=1&amp;query=Kappabashi%20Kitchen%20Town%2C%20Taito%2C%20Japan</t>
        </is>
      </c>
      <c r="AV19" s="16" t="inlineStr">
        <is>
          <t>2026-09-01</t>
        </is>
      </c>
      <c r="AW19" s="16" t="inlineStr">
        <is>
          <t>CALENDARIO / CONDICIÓN PENDIENTE</t>
        </is>
      </c>
      <c r="AX19" s="16" t="inlineStr">
        <is>
          <t>No hay cierre específico confirmado para la ventana, pero horarios o acceso pueden variar.</t>
        </is>
      </c>
      <c r="AY19" s="16" t="inlineStr">
        <is>
          <t>Reconfirmar en la web oficial al fijar fechas.</t>
        </is>
      </c>
    </row>
    <row r="20" ht="66" customHeight="1">
      <c r="A20" s="16" t="inlineStr">
        <is>
          <t>JP-019</t>
        </is>
      </c>
      <c r="B20" s="16" t="inlineStr">
        <is>
          <t>Tokio</t>
        </is>
      </c>
      <c r="C20" s="16" t="inlineStr">
        <is>
          <t>Kanto</t>
        </is>
      </c>
      <c r="D20" s="16" t="inlineStr">
        <is>
          <t>Tokio</t>
        </is>
      </c>
      <c r="E20" s="16" t="inlineStr">
        <is>
          <t>Sumida</t>
        </is>
      </c>
      <c r="F20" s="16" t="inlineStr">
        <is>
          <t>Oshiage</t>
        </is>
      </c>
      <c r="G20" s="16" t="inlineStr">
        <is>
          <t>Skytree–Sumida</t>
        </is>
      </c>
      <c r="H20" s="16" t="inlineStr">
        <is>
          <t>Tokyo Skytree</t>
        </is>
      </c>
      <c r="I20" s="16" t="inlineStr">
        <is>
          <t>東京スカイツリー</t>
        </is>
      </c>
      <c r="J20" s="16" t="inlineStr">
        <is>
          <t>Tokyo Skytree</t>
        </is>
      </c>
      <c r="K20" s="16" t="inlineStr">
        <is>
          <t>🌅 Miradores</t>
        </is>
      </c>
      <c r="L20" s="16" t="inlineStr">
        <is>
          <t>torre/mirador</t>
        </is>
      </c>
      <c r="M20" s="16" t="inlineStr">
        <is>
          <t>B</t>
        </is>
      </c>
      <c r="N20" s="16" t="inlineStr">
        <is>
          <t>La mayor altura y vistas lejanas compensan el entorno comercial, pero no es la más emocional. Clasificación v2: recomendable si encaja; su valor depende más de interés, saturación o logística.</t>
        </is>
      </c>
      <c r="O20" s="16" t="inlineStr">
        <is>
          <t>Torre de radiodifusión con dos observatorios a 350 y 450 m.</t>
        </is>
      </c>
      <c r="P20" s="16" t="inlineStr">
        <is>
          <t>Ningún otro mirador urbano del país alcanza su altura.</t>
        </is>
      </c>
      <c r="Q20" s="16" t="inlineStr">
        <is>
          <t>Torre de radiodifusión con dos observatorios a 350 y 450 m.</t>
        </is>
      </c>
      <c r="R20" s="16" t="inlineStr">
        <is>
          <t>1.5–2.5 h</t>
        </is>
      </c>
      <c r="S20" s="16" t="inlineStr">
        <is>
          <t>Atardecer</t>
        </is>
      </c>
      <c r="T20" s="16" t="inlineStr">
        <is>
          <t>Invierno</t>
        </is>
      </c>
      <c r="U20" s="16" t="inlineStr">
        <is>
          <t>Extremo</t>
        </is>
      </c>
      <c r="V20" s="16" t="inlineStr">
        <is>
          <t>Extremo</t>
        </is>
      </c>
      <c r="W20" s="89" t="n">
        <v>2100</v>
      </c>
      <c r="X20" s="89" t="n">
        <v>3400</v>
      </c>
      <c r="Y20" s="89">
        <f>W20*'Configuración'!$B$4</f>
        <v/>
      </c>
      <c r="Z20" s="89">
        <f>X20*'Configuración'!$B$4</f>
        <v/>
      </c>
      <c r="AA20" s="16" t="inlineStr">
        <is>
          <t>Recomendable</t>
        </is>
      </c>
      <c r="AB20" s="16" t="inlineStr">
        <is>
          <t>1–2 semanas</t>
        </is>
      </c>
      <c r="AC20" s="16" t="inlineStr">
        <is>
          <t>Variable por fecha</t>
        </is>
      </c>
      <c r="AD20" s="16" t="inlineStr">
        <is>
          <t>Sin cierre ordinario; clima</t>
        </is>
      </c>
      <c r="AE20" s="16" t="inlineStr">
        <is>
          <t>Oshiage / Tokyo Skytree</t>
        </is>
      </c>
      <c r="AF20" s="16" t="inlineStr">
        <is>
          <t>Buena en áreas principales; confirmar detalles con el recinto</t>
        </is>
      </c>
      <c r="AG20" s="90" t="n">
        <v>35.7101</v>
      </c>
      <c r="AH20" s="90" t="n">
        <v>139.8107</v>
      </c>
      <c r="AI20" s="16" t="inlineStr">
        <is>
          <t>https://www.tokyo-skytree.jp/en/</t>
        </is>
      </c>
      <c r="AJ20" s="16" t="inlineStr">
        <is>
          <t>Cambiante</t>
        </is>
      </c>
      <c r="AK20" s="16" t="inlineStr">
        <is>
          <t>ICON</t>
        </is>
      </c>
      <c r="AL20" s="16" t="inlineStr">
        <is>
          <t>fotografía, arquitectura, altura</t>
        </is>
      </c>
      <c r="AM20" s="91" t="n">
        <v>5</v>
      </c>
      <c r="AN20" s="91" t="n">
        <v>4</v>
      </c>
      <c r="AO20" s="91" t="n">
        <v>3</v>
      </c>
      <c r="AP20" s="91" t="n">
        <v>5</v>
      </c>
      <c r="AQ20" s="16" t="inlineStr">
        <is>
          <t>Imagen ideal: ningún otro mirador urbano del país alcanza su altura. con luz de atardecer, sin multitudes dominando el encuadre.</t>
        </is>
      </c>
      <c r="AR20" s="16" t="inlineStr">
        <is>
          <t>Asakusa Culture Tourist Information Center (~18 min a pie) | Sensō-ji (~19 min a pie) | The Sumida Hokusai Museum (~25 min a pie)</t>
        </is>
      </c>
      <c r="AS20" s="16" t="inlineStr">
        <is>
          <t>Popular / turístico</t>
        </is>
      </c>
      <c r="AT20" s="16" t="str"/>
      <c r="AU20" s="16" t="inlineStr">
        <is>
          <t>https://www.google.com/maps/search/?api=1&amp;query=Tokyo%20Skytree%2C%20Sumida%2C%20Japan</t>
        </is>
      </c>
      <c r="AV20" s="16" t="inlineStr">
        <is>
          <t>2026-09-01</t>
        </is>
      </c>
      <c r="AW20" s="16" t="inlineStr">
        <is>
          <t>CALENDARIO / CONDICIÓN PENDIENTE</t>
        </is>
      </c>
      <c r="AX20" s="16" t="inlineStr">
        <is>
          <t>No hay cierre específico confirmado para la ventana, pero horarios o acceso pueden variar.</t>
        </is>
      </c>
      <c r="AY20" s="16" t="inlineStr">
        <is>
          <t>Reconfirmar en la web oficial al fijar fechas.</t>
        </is>
      </c>
    </row>
    <row r="21" ht="66" customHeight="1">
      <c r="A21" s="16" t="inlineStr">
        <is>
          <t>JP-020</t>
        </is>
      </c>
      <c r="B21" s="16" t="inlineStr">
        <is>
          <t>Tokio</t>
        </is>
      </c>
      <c r="C21" s="16" t="inlineStr">
        <is>
          <t>Kanto</t>
        </is>
      </c>
      <c r="D21" s="16" t="inlineStr">
        <is>
          <t>Tokio</t>
        </is>
      </c>
      <c r="E21" s="16" t="inlineStr">
        <is>
          <t>Sumida</t>
        </is>
      </c>
      <c r="F21" s="16" t="inlineStr">
        <is>
          <t>Ryogoku</t>
        </is>
      </c>
      <c r="G21" s="16" t="inlineStr">
        <is>
          <t>Skytree–Sumida</t>
        </is>
      </c>
      <c r="H21" s="16" t="inlineStr">
        <is>
          <t>The Sumida Hokusai Museum</t>
        </is>
      </c>
      <c r="I21" s="16" t="inlineStr">
        <is>
          <t>すみだ北斎美術館</t>
        </is>
      </c>
      <c r="J21" s="16" t="inlineStr">
        <is>
          <t>The Sumida Hokusai Museum</t>
        </is>
      </c>
      <c r="K21" s="16" t="inlineStr">
        <is>
          <t>🎨 Arte</t>
        </is>
      </c>
      <c r="L21" s="16" t="inlineStr">
        <is>
          <t>museo</t>
        </is>
      </c>
      <c r="M21" s="16" t="inlineStr">
        <is>
          <t>A</t>
        </is>
      </c>
      <c r="N21" s="16" t="inlineStr">
        <is>
          <t>Museo especializado con gran arquitectura y relación directa con el barrio natal de Hokusai.</t>
        </is>
      </c>
      <c r="O21" s="16" t="inlineStr">
        <is>
          <t>Colección y exposiciones sobre Katsushika Hokusai.</t>
        </is>
      </c>
      <c r="P21" s="16" t="inlineStr">
        <is>
          <t>Contexto local y edificio de Kazuyo Sejima.</t>
        </is>
      </c>
      <c r="Q21" s="16" t="inlineStr">
        <is>
          <t>Colección y exposiciones sobre Katsushika Hokusai.</t>
        </is>
      </c>
      <c r="R21" s="16" t="inlineStr">
        <is>
          <t>1–2 h</t>
        </is>
      </c>
      <c r="S21" s="16" t="inlineStr">
        <is>
          <t>Tarde</t>
        </is>
      </c>
      <c r="T21" s="16" t="inlineStr">
        <is>
          <t>Todo el año</t>
        </is>
      </c>
      <c r="U21" s="16" t="inlineStr">
        <is>
          <t>Bajo</t>
        </is>
      </c>
      <c r="V21" s="16" t="inlineStr">
        <is>
          <t>Bajo</t>
        </is>
      </c>
      <c r="W21" s="89" t="n">
        <v>400</v>
      </c>
      <c r="X21" s="89" t="n">
        <v>1500</v>
      </c>
      <c r="Y21" s="89">
        <f>W21*'Configuración'!$B$4</f>
        <v/>
      </c>
      <c r="Z21" s="89">
        <f>X21*'Configuración'!$B$4</f>
        <v/>
      </c>
      <c r="AA21" s="16" t="inlineStr">
        <is>
          <t>No</t>
        </is>
      </c>
      <c r="AB21" s="16" t="inlineStr">
        <is>
          <t>—</t>
        </is>
      </c>
      <c r="AC21" s="16" t="inlineStr">
        <is>
          <t>09:30–17:30 aprox.</t>
        </is>
      </c>
      <c r="AD21" s="16" t="inlineStr">
        <is>
          <t>Lunes; verificar</t>
        </is>
      </c>
      <c r="AE21" s="16" t="inlineStr">
        <is>
          <t>JR/Toei Ryogoku</t>
        </is>
      </c>
      <c r="AF21" s="16" t="inlineStr">
        <is>
          <t>Buena en áreas principales; confirmar detalles con el recinto</t>
        </is>
      </c>
      <c r="AG21" s="90" t="n">
        <v>35.6963</v>
      </c>
      <c r="AH21" s="90" t="n">
        <v>139.8005</v>
      </c>
      <c r="AI21" s="16" t="inlineStr">
        <is>
          <t>https://hokusai-museum.jp/?lang=en</t>
        </is>
      </c>
      <c r="AJ21" s="16" t="inlineStr">
        <is>
          <t>Cambiante</t>
        </is>
      </c>
      <c r="AK21" s="16" t="inlineStr">
        <is>
          <t>HIDDEN GEM</t>
        </is>
      </c>
      <c r="AL21" s="16" t="inlineStr">
        <is>
          <t>arte, arquitectura, cultura</t>
        </is>
      </c>
      <c r="AM21" s="91" t="n">
        <v>4</v>
      </c>
      <c r="AN21" s="91" t="n">
        <v>5</v>
      </c>
      <c r="AO21" s="91" t="n">
        <v>5</v>
      </c>
      <c r="AP21" s="91" t="n">
        <v>1</v>
      </c>
      <c r="AQ21" s="16" t="inlineStr">
        <is>
          <t>Imagen ideal: contexto local y edificio de kazuyo sejima. con luz de tarde, sin multitudes dominando el encuadre.</t>
        </is>
      </c>
      <c r="AR21" s="16" t="inlineStr">
        <is>
          <t>Edo-Tokyo Museum (~5 min a pie) | Asakusa Culture Tourist Information Center (~23 min a pie) | Tokyo Skytree (~25 min a pie)</t>
        </is>
      </c>
      <c r="AS21" s="16" t="inlineStr">
        <is>
          <t>Hidden Gem real</t>
        </is>
      </c>
      <c r="AT21" s="16" t="str"/>
      <c r="AU21" s="16" t="inlineStr">
        <is>
          <t>https://www.google.com/maps/search/?api=1&amp;query=The%20Sumida%20Hokusai%20Museum%2C%20Sumida%2C%20Japan</t>
        </is>
      </c>
      <c r="AV21" s="16" t="inlineStr">
        <is>
          <t>2026-09-01</t>
        </is>
      </c>
      <c r="AW21" s="16" t="inlineStr">
        <is>
          <t>CALENDARIO / CONDICIÓN PENDIENTE</t>
        </is>
      </c>
      <c r="AX21" s="16" t="inlineStr">
        <is>
          <t>No hay cierre específico confirmado para la ventana, pero horarios o acceso pueden variar.</t>
        </is>
      </c>
      <c r="AY21" s="16" t="inlineStr">
        <is>
          <t>Reconfirmar en la web oficial al fijar fechas.</t>
        </is>
      </c>
    </row>
    <row r="22" ht="66" customHeight="1">
      <c r="A22" s="16" t="inlineStr">
        <is>
          <t>JP-021</t>
        </is>
      </c>
      <c r="B22" s="16" t="inlineStr">
        <is>
          <t>Tokio</t>
        </is>
      </c>
      <c r="C22" s="16" t="inlineStr">
        <is>
          <t>Kanto</t>
        </is>
      </c>
      <c r="D22" s="16" t="inlineStr">
        <is>
          <t>Tokio</t>
        </is>
      </c>
      <c r="E22" s="16" t="inlineStr">
        <is>
          <t>Taito</t>
        </is>
      </c>
      <c r="F22" s="16" t="inlineStr">
        <is>
          <t>Ueno</t>
        </is>
      </c>
      <c r="G22" s="16" t="inlineStr">
        <is>
          <t>Ueno–Yanaka</t>
        </is>
      </c>
      <c r="H22" s="16" t="inlineStr">
        <is>
          <t>Tokyo National Museum</t>
        </is>
      </c>
      <c r="I22" s="16" t="inlineStr">
        <is>
          <t>東京国立博物館</t>
        </is>
      </c>
      <c r="J22" s="16" t="inlineStr">
        <is>
          <t>Tokyo National Museum</t>
        </is>
      </c>
      <c r="K22" s="16" t="inlineStr">
        <is>
          <t>🏛️ Museos</t>
        </is>
      </c>
      <c r="L22" s="16" t="inlineStr">
        <is>
          <t>museo nacional</t>
        </is>
      </c>
      <c r="M22" s="16" t="inlineStr">
        <is>
          <t>S</t>
        </is>
      </c>
      <c r="N22" s="16" t="inlineStr">
        <is>
          <t>La mejor introducción concentrada al arte y patrimonio material japonés.</t>
        </is>
      </c>
      <c r="O22" s="16" t="inlineStr">
        <is>
          <t>El museo más antiguo de Japón con colecciones nacionales y asiáticas.</t>
        </is>
      </c>
      <c r="P22" s="16" t="inlineStr">
        <is>
          <t>Calidad y amplitud muy superiores a una visita rápida de templo en templo.</t>
        </is>
      </c>
      <c r="Q22" s="16" t="inlineStr">
        <is>
          <t>El museo más antiguo de Japón con colecciones nacionales y asiáticas.</t>
        </is>
      </c>
      <c r="R22" s="16" t="inlineStr">
        <is>
          <t>3–5 h</t>
        </is>
      </c>
      <c r="S22" s="16" t="inlineStr">
        <is>
          <t>Mañana</t>
        </is>
      </c>
      <c r="T22" s="16" t="inlineStr">
        <is>
          <t>Todo el año</t>
        </is>
      </c>
      <c r="U22" s="16" t="inlineStr">
        <is>
          <t>Alto</t>
        </is>
      </c>
      <c r="V22" s="16" t="inlineStr">
        <is>
          <t>Alto</t>
        </is>
      </c>
      <c r="W22" s="89" t="n">
        <v>1000</v>
      </c>
      <c r="X22" s="89" t="n">
        <v>2200</v>
      </c>
      <c r="Y22" s="89">
        <f>W22*'Configuración'!$B$4</f>
        <v/>
      </c>
      <c r="Z22" s="89">
        <f>X22*'Configuración'!$B$4</f>
        <v/>
      </c>
      <c r="AA22" s="16" t="inlineStr">
        <is>
          <t>Recomendable</t>
        </is>
      </c>
      <c r="AB22" s="16" t="inlineStr">
        <is>
          <t>Días/semanas para exposiciones</t>
        </is>
      </c>
      <c r="AC22" s="16" t="inlineStr">
        <is>
          <t>09:30–17:00 aprox.</t>
        </is>
      </c>
      <c r="AD22" s="16" t="inlineStr">
        <is>
          <t>Lunes; verificar</t>
        </is>
      </c>
      <c r="AE22" s="16" t="inlineStr">
        <is>
          <t>JR/Metro Ueno</t>
        </is>
      </c>
      <c r="AF22" s="16" t="inlineStr">
        <is>
          <t>Buena en áreas principales; confirmar detalles con el recinto</t>
        </is>
      </c>
      <c r="AG22" s="90" t="n">
        <v>35.7188</v>
      </c>
      <c r="AH22" s="90" t="n">
        <v>139.7765</v>
      </c>
      <c r="AI22" s="16" t="inlineStr">
        <is>
          <t>https://www.tnm.jp/?lang=en</t>
        </is>
      </c>
      <c r="AJ22" s="16" t="inlineStr">
        <is>
          <t>Cambiante</t>
        </is>
      </c>
      <c r="AK22" s="16" t="inlineStr">
        <is>
          <t>MUST SEE</t>
        </is>
      </c>
      <c r="AL22" s="16" t="inlineStr">
        <is>
          <t>historia, arte, cultura, lluvia</t>
        </is>
      </c>
      <c r="AM22" s="91" t="n">
        <v>4</v>
      </c>
      <c r="AN22" s="91" t="n">
        <v>5</v>
      </c>
      <c r="AO22" s="91" t="n">
        <v>5</v>
      </c>
      <c r="AP22" s="91" t="n">
        <v>4</v>
      </c>
      <c r="AQ22" s="16" t="inlineStr">
        <is>
          <t>Imagen ideal: calidad y amplitud muy superiores a una visita rápida de templo en templo. con luz de mañana, sin multitudes dominando el encuadre.</t>
        </is>
      </c>
      <c r="AR22" s="16" t="inlineStr">
        <is>
          <t>Ameyoko (~14 min a pie) | Kappabashi Kitchen Town (~16 min a pie) | Yanaka Ginza and cemetery lanes (~18 min a pie)</t>
        </is>
      </c>
      <c r="AS22" s="16" t="inlineStr">
        <is>
          <t>Popular / turístico</t>
        </is>
      </c>
      <c r="AT22" s="16" t="str"/>
      <c r="AU22" s="16" t="inlineStr">
        <is>
          <t>https://www.google.com/maps/search/?api=1&amp;query=Tokyo%20National%20Museum%2C%20Taito%2C%20Japan</t>
        </is>
      </c>
      <c r="AV22" s="16" t="inlineStr">
        <is>
          <t>2026-09-01</t>
        </is>
      </c>
      <c r="AW22" s="16" t="inlineStr">
        <is>
          <t>CALENDARIO / CONDICIÓN PENDIENTE</t>
        </is>
      </c>
      <c r="AX22" s="16" t="inlineStr">
        <is>
          <t>No hay cierre específico confirmado para la ventana, pero horarios o acceso pueden variar.</t>
        </is>
      </c>
      <c r="AY22" s="16" t="inlineStr">
        <is>
          <t>Reconfirmar en la web oficial al fijar fechas.</t>
        </is>
      </c>
    </row>
    <row r="23" ht="66" customHeight="1">
      <c r="A23" s="16" t="inlineStr">
        <is>
          <t>JP-022</t>
        </is>
      </c>
      <c r="B23" s="16" t="inlineStr">
        <is>
          <t>Tokio</t>
        </is>
      </c>
      <c r="C23" s="16" t="inlineStr">
        <is>
          <t>Kanto</t>
        </is>
      </c>
      <c r="D23" s="16" t="inlineStr">
        <is>
          <t>Tokio</t>
        </is>
      </c>
      <c r="E23" s="16" t="inlineStr">
        <is>
          <t>Taito</t>
        </is>
      </c>
      <c r="F23" s="16" t="inlineStr">
        <is>
          <t>Ueno</t>
        </is>
      </c>
      <c r="G23" s="16" t="inlineStr">
        <is>
          <t>Ueno–Yanaka</t>
        </is>
      </c>
      <c r="H23" s="16" t="inlineStr">
        <is>
          <t>Ameyoko</t>
        </is>
      </c>
      <c r="I23" s="16" t="inlineStr">
        <is>
          <t>アメ横</t>
        </is>
      </c>
      <c r="J23" s="16" t="inlineStr">
        <is>
          <t>Ameyoko</t>
        </is>
      </c>
      <c r="K23" s="16" t="inlineStr">
        <is>
          <t>🛍️ Compras</t>
        </is>
      </c>
      <c r="L23" s="16" t="inlineStr">
        <is>
          <t>mercado/calle</t>
        </is>
      </c>
      <c r="M23" s="16" t="inlineStr">
        <is>
          <t>B</t>
        </is>
      </c>
      <c r="N23" s="16" t="inlineStr">
        <is>
          <t>Gran energía popular, aunque parte de la oferta es genérica y muy turística.</t>
        </is>
      </c>
      <c r="O23" s="16" t="inlineStr">
        <is>
          <t>Mercado callejero bajo y junto a las vías entre Ueno y Okachimachi.</t>
        </is>
      </c>
      <c r="P23" s="16" t="inlineStr">
        <is>
          <t>Mezcla alimentos, ropa, tiendas asiáticas y ruido urbano.</t>
        </is>
      </c>
      <c r="Q23" s="16" t="inlineStr">
        <is>
          <t>Mercado callejero bajo y junto a las vías entre Ueno y Okachimachi.</t>
        </is>
      </c>
      <c r="R23" s="16" t="inlineStr">
        <is>
          <t>1–2 h</t>
        </is>
      </c>
      <c r="S23" s="16" t="inlineStr">
        <is>
          <t>Tarde</t>
        </is>
      </c>
      <c r="T23" s="16" t="inlineStr">
        <is>
          <t>Todo el año</t>
        </is>
      </c>
      <c r="U23" s="16" t="inlineStr">
        <is>
          <t>Extremo</t>
        </is>
      </c>
      <c r="V23" s="16" t="inlineStr">
        <is>
          <t>Alto</t>
        </is>
      </c>
      <c r="W23" s="89" t="n">
        <v>0</v>
      </c>
      <c r="X23" s="89" t="n">
        <v>0</v>
      </c>
      <c r="Y23" s="89">
        <f>W23*'Configuración'!$B$4</f>
        <v/>
      </c>
      <c r="Z23" s="89">
        <f>X23*'Configuración'!$B$4</f>
        <v/>
      </c>
      <c r="AA23" s="16" t="inlineStr">
        <is>
          <t>No</t>
        </is>
      </c>
      <c r="AB23" s="16" t="inlineStr">
        <is>
          <t>—</t>
        </is>
      </c>
      <c r="AC23" s="16" t="inlineStr">
        <is>
          <t>Según comercio</t>
        </is>
      </c>
      <c r="AD23" s="16" t="inlineStr">
        <is>
          <t>Según comercio</t>
        </is>
      </c>
      <c r="AE23" s="16" t="inlineStr">
        <is>
          <t>Ueno / Okachimachi</t>
        </is>
      </c>
      <c r="AF23" s="16" t="inlineStr">
        <is>
          <t>Buena en áreas principales; confirmar detalles con el recinto</t>
        </is>
      </c>
      <c r="AG23" s="90" t="n">
        <v>35.7102</v>
      </c>
      <c r="AH23" s="90" t="n">
        <v>139.7748</v>
      </c>
      <c r="AI23" s="16" t="inlineStr">
        <is>
          <t>https://www.gotokyo.org/en/index.html</t>
        </is>
      </c>
      <c r="AJ23" s="16" t="inlineStr">
        <is>
          <t>Cambiante</t>
        </is>
      </c>
      <c r="AK23" s="16" t="inlineStr">
        <is>
          <t>STREET</t>
        </is>
      </c>
      <c r="AL23" s="16" t="inlineStr">
        <is>
          <t>comida, compras, fotografía</t>
        </is>
      </c>
      <c r="AM23" s="91" t="n">
        <v>4</v>
      </c>
      <c r="AN23" s="91" t="n">
        <v>3</v>
      </c>
      <c r="AO23" s="91" t="n">
        <v>4</v>
      </c>
      <c r="AP23" s="91" t="n">
        <v>4</v>
      </c>
      <c r="AQ23" s="16" t="inlineStr">
        <is>
          <t>Imagen ideal: mezcla alimentos, ropa, tiendas asiáticas y ruido urbano. con luz de tarde, sin multitudes dominando el encuadre.</t>
        </is>
      </c>
      <c r="AR23" s="16" t="inlineStr">
        <is>
          <t>Tokyo National Museum (~14 min a pie) | Kanda Myojin (~15 min a pie) | Retro game hunt: Super Potato + Mandarake (~16 min a pie)</t>
        </is>
      </c>
      <c r="AS23" s="16" t="inlineStr">
        <is>
          <t>Popular / turístico</t>
        </is>
      </c>
      <c r="AT23" s="16" t="str"/>
      <c r="AU23" s="16" t="inlineStr">
        <is>
          <t>https://www.google.com/maps/search/?api=1&amp;query=Ameyoko%2C%20Taito%2C%20Japan</t>
        </is>
      </c>
      <c r="AV23" s="16" t="inlineStr">
        <is>
          <t>2026-09-01</t>
        </is>
      </c>
      <c r="AW23" s="16" t="inlineStr">
        <is>
          <t>CALENDARIO / CONDICIÓN PENDIENTE</t>
        </is>
      </c>
      <c r="AX23" s="16" t="inlineStr">
        <is>
          <t>No hay cierre específico confirmado para la ventana, pero horarios o acceso pueden variar.</t>
        </is>
      </c>
      <c r="AY23" s="16" t="inlineStr">
        <is>
          <t>Reconfirmar en la web oficial al fijar fechas.</t>
        </is>
      </c>
    </row>
    <row r="24" ht="66" customHeight="1">
      <c r="A24" s="16" t="inlineStr">
        <is>
          <t>JP-023</t>
        </is>
      </c>
      <c r="B24" s="16" t="inlineStr">
        <is>
          <t>Tokio</t>
        </is>
      </c>
      <c r="C24" s="16" t="inlineStr">
        <is>
          <t>Kanto</t>
        </is>
      </c>
      <c r="D24" s="16" t="inlineStr">
        <is>
          <t>Tokio</t>
        </is>
      </c>
      <c r="E24" s="16" t="inlineStr">
        <is>
          <t>Taito</t>
        </is>
      </c>
      <c r="F24" s="16" t="inlineStr">
        <is>
          <t>Yanaka</t>
        </is>
      </c>
      <c r="G24" s="16" t="inlineStr">
        <is>
          <t>Ueno–Yanaka</t>
        </is>
      </c>
      <c r="H24" s="16" t="inlineStr">
        <is>
          <t>Yanaka Ginza and cemetery lanes</t>
        </is>
      </c>
      <c r="I24" s="16" t="inlineStr">
        <is>
          <t>谷中銀座・谷中霊園</t>
        </is>
      </c>
      <c r="J24" s="16" t="inlineStr">
        <is>
          <t>Yanaka Ginza and cemetery lanes</t>
        </is>
      </c>
      <c r="K24" s="16" t="inlineStr">
        <is>
          <t>🏙️ Ciudad y barrios</t>
        </is>
      </c>
      <c r="L24" s="16" t="inlineStr">
        <is>
          <t>barrio/paseo</t>
        </is>
      </c>
      <c r="M24" s="16" t="inlineStr">
        <is>
          <t>A</t>
        </is>
      </c>
      <c r="N24" s="16" t="inlineStr">
        <is>
          <t>Shitamachi tranquilo, vivido y fotogénico sin parecer un decorado.</t>
        </is>
      </c>
      <c r="O24" s="16" t="inlineStr">
        <is>
          <t>Calle comercial baja, templos, cementerio y casas antiguas.</t>
        </is>
      </c>
      <c r="P24" s="16" t="inlineStr">
        <is>
          <t>Conserva escala residencial previa a los rascacielos.</t>
        </is>
      </c>
      <c r="Q24" s="16" t="inlineStr">
        <is>
          <t>Calle comercial baja, templos, cementerio y casas antiguas.</t>
        </is>
      </c>
      <c r="R24" s="16" t="inlineStr">
        <is>
          <t>2–3 h</t>
        </is>
      </c>
      <c r="S24" s="16" t="inlineStr">
        <is>
          <t>Tarde</t>
        </is>
      </c>
      <c r="T24" s="16" t="inlineStr">
        <is>
          <t>Primavera y otoño</t>
        </is>
      </c>
      <c r="U24" s="16" t="inlineStr">
        <is>
          <t>Medio</t>
        </is>
      </c>
      <c r="V24" s="16" t="inlineStr">
        <is>
          <t>Medio</t>
        </is>
      </c>
      <c r="W24" s="89" t="n">
        <v>0</v>
      </c>
      <c r="X24" s="89" t="n">
        <v>0</v>
      </c>
      <c r="Y24" s="89">
        <f>W24*'Configuración'!$B$4</f>
        <v/>
      </c>
      <c r="Z24" s="89">
        <f>X24*'Configuración'!$B$4</f>
        <v/>
      </c>
      <c r="AA24" s="16" t="inlineStr">
        <is>
          <t>No</t>
        </is>
      </c>
      <c r="AB24" s="16" t="inlineStr">
        <is>
          <t>—</t>
        </is>
      </c>
      <c r="AC24" s="16" t="inlineStr">
        <is>
          <t>Espacio público; tiendas variables</t>
        </is>
      </c>
      <c r="AD24" s="16" t="inlineStr">
        <is>
          <t>Sin cierre</t>
        </is>
      </c>
      <c r="AE24" s="16" t="inlineStr">
        <is>
          <t>Nippori / Sendagi</t>
        </is>
      </c>
      <c r="AF24" s="16" t="inlineStr">
        <is>
          <t>Buena en áreas principales; confirmar detalles con el recinto</t>
        </is>
      </c>
      <c r="AG24" s="90" t="n">
        <v>35.7275</v>
      </c>
      <c r="AH24" s="90" t="n">
        <v>139.7668</v>
      </c>
      <c r="AI24" s="16" t="inlineStr">
        <is>
          <t>https://www.gotokyo.org/en/index.html</t>
        </is>
      </c>
      <c r="AJ24" s="16" t="inlineStr">
        <is>
          <t>Cambiante</t>
        </is>
      </c>
      <c r="AK24" s="16" t="inlineStr">
        <is>
          <t>HIDDEN GEM</t>
        </is>
      </c>
      <c r="AL24" s="16" t="inlineStr">
        <is>
          <t>pareja, fotografía, barrios, comida</t>
        </is>
      </c>
      <c r="AM24" s="91" t="n">
        <v>4</v>
      </c>
      <c r="AN24" s="91" t="n">
        <v>5</v>
      </c>
      <c r="AO24" s="91" t="n">
        <v>5</v>
      </c>
      <c r="AP24" s="91" t="n">
        <v>2</v>
      </c>
      <c r="AQ24" s="16" t="inlineStr">
        <is>
          <t>Imagen ideal: conserva escala residencial previa a los rascacielos. con luz de tarde, sin multitudes dominando el encuadre.</t>
        </is>
      </c>
      <c r="AR24" s="16" t="inlineStr">
        <is>
          <t>Nezu Shrine (~14 min a pie) | Tokyo National Museum (~18 min a pie) | Ameyoko (~29 min en transporte)</t>
        </is>
      </c>
      <c r="AS24" s="16" t="inlineStr">
        <is>
          <t>Semi-hidden</t>
        </is>
      </c>
      <c r="AT24" s="16" t="str"/>
      <c r="AU24" s="16" t="inlineStr">
        <is>
          <t>https://www.google.com/maps/search/?api=1&amp;query=Yanaka%20Ginza%20and%20cemetery%20lanes%2C%20Taito%2C%20Japan</t>
        </is>
      </c>
      <c r="AV24" s="16" t="inlineStr">
        <is>
          <t>2026-09-01</t>
        </is>
      </c>
      <c r="AW24" s="16" t="inlineStr">
        <is>
          <t>CALENDARIO / CONDICIÓN PENDIENTE</t>
        </is>
      </c>
      <c r="AX24" s="16" t="inlineStr">
        <is>
          <t>No hay cierre específico confirmado para la ventana, pero horarios o acceso pueden variar.</t>
        </is>
      </c>
      <c r="AY24" s="16" t="inlineStr">
        <is>
          <t>Reconfirmar en la web oficial al fijar fechas.</t>
        </is>
      </c>
    </row>
    <row r="25" ht="66" customHeight="1">
      <c r="A25" s="16" t="inlineStr">
        <is>
          <t>JP-024</t>
        </is>
      </c>
      <c r="B25" s="16" t="inlineStr">
        <is>
          <t>Tokio</t>
        </is>
      </c>
      <c r="C25" s="16" t="inlineStr">
        <is>
          <t>Kanto</t>
        </is>
      </c>
      <c r="D25" s="16" t="inlineStr">
        <is>
          <t>Tokio</t>
        </is>
      </c>
      <c r="E25" s="16" t="inlineStr">
        <is>
          <t>Bunkyo</t>
        </is>
      </c>
      <c r="F25" s="16" t="inlineStr">
        <is>
          <t>Nezu</t>
        </is>
      </c>
      <c r="G25" s="16" t="inlineStr">
        <is>
          <t>Ueno–Yanaka</t>
        </is>
      </c>
      <c r="H25" s="16" t="inlineStr">
        <is>
          <t>Nezu Shrine</t>
        </is>
      </c>
      <c r="I25" s="16" t="inlineStr">
        <is>
          <t>根津神社</t>
        </is>
      </c>
      <c r="J25" s="16" t="inlineStr">
        <is>
          <t>Nezu Shrine</t>
        </is>
      </c>
      <c r="K25" s="16" t="inlineStr">
        <is>
          <t>⛩️ Templos y santuarios</t>
        </is>
      </c>
      <c r="L25" s="16" t="inlineStr">
        <is>
          <t>santuario</t>
        </is>
      </c>
      <c r="M25" s="16" t="inlineStr">
        <is>
          <t>A</t>
        </is>
      </c>
      <c r="N25" s="16" t="inlineStr">
        <is>
          <t>Santuario histórico con túnel de torii y azaleas, mucho menos saturado que Fushimi Inari.</t>
        </is>
      </c>
      <c r="O25" s="16" t="inlineStr">
        <is>
          <t>Recinto Edo con estanques, torii rojos y jardín de azaleas.</t>
        </is>
      </c>
      <c r="P25" s="16" t="inlineStr">
        <is>
          <t>Ofrece imágenes de torii en un entorno local compacto.</t>
        </is>
      </c>
      <c r="Q25" s="16" t="inlineStr">
        <is>
          <t>Recinto Edo con estanques, torii rojos y jardín de azaleas.</t>
        </is>
      </c>
      <c r="R25" s="16" t="inlineStr">
        <is>
          <t>45–90 min</t>
        </is>
      </c>
      <c r="S25" s="16" t="inlineStr">
        <is>
          <t>Mañana</t>
        </is>
      </c>
      <c r="T25" s="16" t="inlineStr">
        <is>
          <t>Abril–mayo para azaleas</t>
        </is>
      </c>
      <c r="U25" s="16" t="inlineStr">
        <is>
          <t>Medio</t>
        </is>
      </c>
      <c r="V25" s="16" t="inlineStr">
        <is>
          <t>Bajo</t>
        </is>
      </c>
      <c r="W25" s="89" t="n">
        <v>0</v>
      </c>
      <c r="X25" s="89" t="n">
        <v>500</v>
      </c>
      <c r="Y25" s="89">
        <f>W25*'Configuración'!$B$4</f>
        <v/>
      </c>
      <c r="Z25" s="89">
        <f>X25*'Configuración'!$B$4</f>
        <v/>
      </c>
      <c r="AA25" s="16" t="inlineStr">
        <is>
          <t>No</t>
        </is>
      </c>
      <c r="AB25" s="16" t="inlineStr">
        <is>
          <t>—</t>
        </is>
      </c>
      <c r="AC25" s="16" t="inlineStr">
        <is>
          <t>Aprox. 06:00–17:00</t>
        </is>
      </c>
      <c r="AD25" s="16" t="inlineStr">
        <is>
          <t>Sin cierre ordinario</t>
        </is>
      </c>
      <c r="AE25" s="16" t="inlineStr">
        <is>
          <t>Nezu / Sendagi</t>
        </is>
      </c>
      <c r="AF25" s="16" t="inlineStr">
        <is>
          <t>Parcial; pueden existir escalones, grava o edificios sin elevador</t>
        </is>
      </c>
      <c r="AG25" s="90" t="n">
        <v>35.7202</v>
      </c>
      <c r="AH25" s="90" t="n">
        <v>139.7609</v>
      </c>
      <c r="AI25" s="16" t="inlineStr">
        <is>
          <t>https://www.nedujinja.or.jp/</t>
        </is>
      </c>
      <c r="AJ25" s="16" t="inlineStr">
        <is>
          <t>Cambiante</t>
        </is>
      </c>
      <c r="AK25" s="16" t="inlineStr">
        <is>
          <t>ALTERNATIVE</t>
        </is>
      </c>
      <c r="AL25" s="16" t="inlineStr">
        <is>
          <t>cultura, fotografía, flores</t>
        </is>
      </c>
      <c r="AM25" s="91" t="n">
        <v>4</v>
      </c>
      <c r="AN25" s="91" t="n">
        <v>5</v>
      </c>
      <c r="AO25" s="91" t="n">
        <v>5</v>
      </c>
      <c r="AP25" s="91" t="n">
        <v>2</v>
      </c>
      <c r="AQ25" s="16" t="inlineStr">
        <is>
          <t>Imagen ideal: ofrece imágenes de torii en un entorno local compacto. con luz de mañana, sin multitudes dominando el encuadre.</t>
        </is>
      </c>
      <c r="AR25" s="16" t="inlineStr">
        <is>
          <t>Yanaka Ginza and cemetery lanes (~14 min a pie) | Tokyo National Museum (~20 min a pie) | Ameyoko (~23 min a pie)</t>
        </is>
      </c>
      <c r="AS25" s="16" t="inlineStr">
        <is>
          <t>Alternativa menos saturada</t>
        </is>
      </c>
      <c r="AT25" s="16" t="inlineStr">
        <is>
          <t>Fushimi Inari (escala mucho menor)</t>
        </is>
      </c>
      <c r="AU25" s="16" t="inlineStr">
        <is>
          <t>https://www.google.com/maps/search/?api=1&amp;query=Nezu%20Shrine%2C%20Bunkyo%2C%20Japan</t>
        </is>
      </c>
      <c r="AV25" s="16" t="inlineStr">
        <is>
          <t>2026-09-01</t>
        </is>
      </c>
      <c r="AW25" s="16" t="inlineStr">
        <is>
          <t>CALENDARIO / CONDICIÓN PENDIENTE</t>
        </is>
      </c>
      <c r="AX25" s="16" t="inlineStr">
        <is>
          <t>No hay cierre específico confirmado para la ventana, pero horarios o acceso pueden variar.</t>
        </is>
      </c>
      <c r="AY25" s="16" t="inlineStr">
        <is>
          <t>Reconfirmar en la web oficial al fijar fechas.</t>
        </is>
      </c>
    </row>
    <row r="26" ht="66" customHeight="1">
      <c r="A26" s="16" t="inlineStr">
        <is>
          <t>JP-025</t>
        </is>
      </c>
      <c r="B26" s="16" t="inlineStr">
        <is>
          <t>Tokio</t>
        </is>
      </c>
      <c r="C26" s="16" t="inlineStr">
        <is>
          <t>Kanto</t>
        </is>
      </c>
      <c r="D26" s="16" t="inlineStr">
        <is>
          <t>Tokio</t>
        </is>
      </c>
      <c r="E26" s="16" t="inlineStr">
        <is>
          <t>Chiyoda</t>
        </is>
      </c>
      <c r="F26" s="16" t="inlineStr">
        <is>
          <t>Akihabara</t>
        </is>
      </c>
      <c r="G26" s="16" t="inlineStr">
        <is>
          <t>Akihabara–Kanda</t>
        </is>
      </c>
      <c r="H26" s="16" t="inlineStr">
        <is>
          <t>Akihabara Electric Town</t>
        </is>
      </c>
      <c r="I26" s="16" t="inlineStr">
        <is>
          <t>秋葉原電気街</t>
        </is>
      </c>
      <c r="J26" s="16" t="inlineStr">
        <is>
          <t>Akihabara Electric Town</t>
        </is>
      </c>
      <c r="K26" s="16" t="inlineStr">
        <is>
          <t>👾 Anime/manga</t>
        </is>
      </c>
      <c r="L26" s="16" t="inlineStr">
        <is>
          <t>barrio</t>
        </is>
      </c>
      <c r="M26" s="16" t="inlineStr">
        <is>
          <t>S</t>
        </is>
      </c>
      <c r="N26" s="16" t="inlineStr">
        <is>
          <t>Sigue siendo el ecosistema pop más denso y singular para gaming, anime y electrónica.</t>
        </is>
      </c>
      <c r="O26" s="16" t="inlineStr">
        <is>
          <t>Calles de tiendas, arcades, figuras, manga, PC y cultura otaku.</t>
        </is>
      </c>
      <c r="P26" s="16" t="inlineStr">
        <is>
          <t>La variedad exige explorar edificios y callejones, no solo Chuo-dori.</t>
        </is>
      </c>
      <c r="Q26" s="16" t="inlineStr">
        <is>
          <t>Calles de tiendas, arcades, figuras, manga, PC y cultura otaku.</t>
        </is>
      </c>
      <c r="R26" s="16" t="inlineStr">
        <is>
          <t>3–6 h</t>
        </is>
      </c>
      <c r="S26" s="16" t="inlineStr">
        <is>
          <t>Tarde</t>
        </is>
      </c>
      <c r="T26" s="16" t="inlineStr">
        <is>
          <t>Todo el año</t>
        </is>
      </c>
      <c r="U26" s="16" t="inlineStr">
        <is>
          <t>Extremo</t>
        </is>
      </c>
      <c r="V26" s="16" t="inlineStr">
        <is>
          <t>Extremo</t>
        </is>
      </c>
      <c r="W26" s="89" t="n">
        <v>0</v>
      </c>
      <c r="X26" s="89" t="n">
        <v>0</v>
      </c>
      <c r="Y26" s="89">
        <f>W26*'Configuración'!$B$4</f>
        <v/>
      </c>
      <c r="Z26" s="89">
        <f>X26*'Configuración'!$B$4</f>
        <v/>
      </c>
      <c r="AA26" s="16" t="inlineStr">
        <is>
          <t>No</t>
        </is>
      </c>
      <c r="AB26" s="16" t="inlineStr">
        <is>
          <t>—</t>
        </is>
      </c>
      <c r="AC26" s="16" t="inlineStr">
        <is>
          <t>Tiendas aprox. 10:00–21:00</t>
        </is>
      </c>
      <c r="AD26" s="16" t="inlineStr">
        <is>
          <t>Según comercio</t>
        </is>
      </c>
      <c r="AE26" s="16" t="inlineStr">
        <is>
          <t>JR/Metro Akihabara</t>
        </is>
      </c>
      <c r="AF26" s="16" t="inlineStr">
        <is>
          <t>Buena en áreas principales; confirmar detalles con el recinto</t>
        </is>
      </c>
      <c r="AG26" s="90" t="n">
        <v>35.6984</v>
      </c>
      <c r="AH26" s="90" t="n">
        <v>139.7731</v>
      </c>
      <c r="AI26" s="16" t="inlineStr">
        <is>
          <t>https://www.gotokyo.org/en/spot/55/index.html</t>
        </is>
      </c>
      <c r="AJ26" s="16" t="inlineStr">
        <is>
          <t>Cambiante</t>
        </is>
      </c>
      <c r="AK26" s="16" t="inlineStr">
        <is>
          <t>MUST SEE / ANIME</t>
        </is>
      </c>
      <c r="AL26" s="16" t="inlineStr">
        <is>
          <t>videojuegos, anime, compras, tecnología</t>
        </is>
      </c>
      <c r="AM26" s="91" t="n">
        <v>5</v>
      </c>
      <c r="AN26" s="91" t="n">
        <v>5</v>
      </c>
      <c r="AO26" s="91" t="n">
        <v>4</v>
      </c>
      <c r="AP26" s="91" t="n">
        <v>5</v>
      </c>
      <c r="AQ26" s="16" t="inlineStr">
        <is>
          <t>Imagen ideal: la variedad exige explorar edificios y callejones, no solo chuo-dori. con luz de tarde, sin multitudes dominando el encuadre.</t>
        </is>
      </c>
      <c r="AR26" s="16" t="inlineStr">
        <is>
          <t>Retro game hunt: Super Potato + Mandarake (~4 min a pie) | Kanda Myojin (~9 min a pie) | Ameyoko (~18 min a pie)</t>
        </is>
      </c>
      <c r="AS26" s="16" t="inlineStr">
        <is>
          <t>Popular / turístico</t>
        </is>
      </c>
      <c r="AT26" s="16" t="str"/>
      <c r="AU26" s="16" t="inlineStr">
        <is>
          <t>https://www.google.com/maps/search/?api=1&amp;query=Akihabara%20Electric%20Town%2C%20Chiyoda%2C%20Japan</t>
        </is>
      </c>
      <c r="AV26" s="16" t="inlineStr">
        <is>
          <t>2026-09-01</t>
        </is>
      </c>
      <c r="AW26" s="16" t="inlineStr">
        <is>
          <t>CALENDARIO / CONDICIÓN PENDIENTE</t>
        </is>
      </c>
      <c r="AX26" s="16" t="inlineStr">
        <is>
          <t>No hay cierre específico confirmado para la ventana, pero horarios o acceso pueden variar.</t>
        </is>
      </c>
      <c r="AY26" s="16" t="inlineStr">
        <is>
          <t>Reconfirmar en la web oficial al fijar fechas.</t>
        </is>
      </c>
    </row>
    <row r="27" ht="66" customHeight="1">
      <c r="A27" s="16" t="inlineStr">
        <is>
          <t>JP-026</t>
        </is>
      </c>
      <c r="B27" s="16" t="inlineStr">
        <is>
          <t>Tokio</t>
        </is>
      </c>
      <c r="C27" s="16" t="inlineStr">
        <is>
          <t>Kanto</t>
        </is>
      </c>
      <c r="D27" s="16" t="inlineStr">
        <is>
          <t>Tokio</t>
        </is>
      </c>
      <c r="E27" s="16" t="inlineStr">
        <is>
          <t>Chiyoda</t>
        </is>
      </c>
      <c r="F27" s="16" t="inlineStr">
        <is>
          <t>Akihabara</t>
        </is>
      </c>
      <c r="G27" s="16" t="inlineStr">
        <is>
          <t>Akihabara–Kanda</t>
        </is>
      </c>
      <c r="H27" s="16" t="inlineStr">
        <is>
          <t>Retro game hunt: Super Potato + Mandarake</t>
        </is>
      </c>
      <c r="I27" s="16" t="inlineStr">
        <is>
          <t>スーパーポテト・まんだらけ</t>
        </is>
      </c>
      <c r="J27" s="16" t="inlineStr">
        <is>
          <t>Retro game hunt: Super Potato + Mandarake</t>
        </is>
      </c>
      <c r="K27" s="16" t="inlineStr">
        <is>
          <t>🎮 Videojuegos</t>
        </is>
      </c>
      <c r="L27" s="16" t="inlineStr">
        <is>
          <t>experiencia de compras</t>
        </is>
      </c>
      <c r="M27" s="16" t="inlineStr">
        <is>
          <t>A</t>
        </is>
      </c>
      <c r="N27" s="16" t="inlineStr">
        <is>
          <t>Excelente para historia material del videojuego, aunque precios de coleccionista pueden ser altos.</t>
        </is>
      </c>
      <c r="O27" s="16" t="inlineStr">
        <is>
          <t>Búsqueda de consolas, cartuchos, revistas, figuras y memorabilia retro.</t>
        </is>
      </c>
      <c r="P27" s="16" t="inlineStr">
        <is>
          <t>Permite comparar varias generaciones de cultura de juego japonesa.</t>
        </is>
      </c>
      <c r="Q27" s="16" t="inlineStr">
        <is>
          <t>Búsqueda de consolas, cartuchos, revistas, figuras y memorabilia retro.</t>
        </is>
      </c>
      <c r="R27" s="16" t="inlineStr">
        <is>
          <t>1.5–3 h</t>
        </is>
      </c>
      <c r="S27" s="16" t="inlineStr">
        <is>
          <t>Tarde</t>
        </is>
      </c>
      <c r="T27" s="16" t="inlineStr">
        <is>
          <t>Todo el año</t>
        </is>
      </c>
      <c r="U27" s="16" t="inlineStr">
        <is>
          <t>Alto</t>
        </is>
      </c>
      <c r="V27" s="16" t="inlineStr">
        <is>
          <t>Alto</t>
        </is>
      </c>
      <c r="W27" s="89" t="n">
        <v>0</v>
      </c>
      <c r="X27" s="89" t="n">
        <v>0</v>
      </c>
      <c r="Y27" s="89">
        <f>W27*'Configuración'!$B$4</f>
        <v/>
      </c>
      <c r="Z27" s="89">
        <f>X27*'Configuración'!$B$4</f>
        <v/>
      </c>
      <c r="AA27" s="16" t="inlineStr">
        <is>
          <t>No</t>
        </is>
      </c>
      <c r="AB27" s="16" t="inlineStr">
        <is>
          <t>—</t>
        </is>
      </c>
      <c r="AC27" s="16" t="inlineStr">
        <is>
          <t>Según tienda, aprox. 11:00–20:00</t>
        </is>
      </c>
      <c r="AD27" s="16" t="inlineStr">
        <is>
          <t>Según tienda</t>
        </is>
      </c>
      <c r="AE27" s="16" t="inlineStr">
        <is>
          <t>JR Akihabara</t>
        </is>
      </c>
      <c r="AF27" s="16" t="inlineStr">
        <is>
          <t>Buena en áreas principales; confirmar detalles con el recinto</t>
        </is>
      </c>
      <c r="AG27" s="90" t="n">
        <v>35.7005</v>
      </c>
      <c r="AH27" s="90" t="n">
        <v>139.7714</v>
      </c>
      <c r="AI27" s="16" t="inlineStr">
        <is>
          <t>https://www.gotokyo.org/en/index.html</t>
        </is>
      </c>
      <c r="AJ27" s="16" t="inlineStr">
        <is>
          <t>Cambiante</t>
        </is>
      </c>
      <c r="AK27" s="16" t="inlineStr">
        <is>
          <t>GAMING</t>
        </is>
      </c>
      <c r="AL27" s="16" t="inlineStr">
        <is>
          <t>videojuegos, compras, nostalgia</t>
        </is>
      </c>
      <c r="AM27" s="91" t="n">
        <v>4</v>
      </c>
      <c r="AN27" s="91" t="n">
        <v>5</v>
      </c>
      <c r="AO27" s="91" t="n">
        <v>4</v>
      </c>
      <c r="AP27" s="91" t="n">
        <v>4</v>
      </c>
      <c r="AQ27" s="16" t="inlineStr">
        <is>
          <t>Imagen ideal: permite comparar varias generaciones de cultura de juego japonesa. con luz de tarde, sin multitudes dominando el encuadre.</t>
        </is>
      </c>
      <c r="AR27" s="16" t="inlineStr">
        <is>
          <t>Akihabara Electric Town (~4 min a pie) | Kanda Myojin (~5 min a pie) | Ameyoko (~16 min a pie)</t>
        </is>
      </c>
      <c r="AS27" s="16" t="inlineStr">
        <is>
          <t>Popular / turístico</t>
        </is>
      </c>
      <c r="AT27" s="16" t="str"/>
      <c r="AU27" s="16" t="inlineStr">
        <is>
          <t>https://www.google.com/maps/search/?api=1&amp;query=Retro%20game%20hunt%3A%20Super%20Potato%20%2B%20Mandarake%2C%20Chiyoda%2C%20Japan</t>
        </is>
      </c>
      <c r="AV27" s="16" t="inlineStr">
        <is>
          <t>2026-09-01</t>
        </is>
      </c>
      <c r="AW27" s="16" t="inlineStr">
        <is>
          <t>CALENDARIO / CONDICIÓN PENDIENTE</t>
        </is>
      </c>
      <c r="AX27" s="16" t="inlineStr">
        <is>
          <t>No hay cierre específico confirmado para la ventana, pero horarios o acceso pueden variar.</t>
        </is>
      </c>
      <c r="AY27" s="16" t="inlineStr">
        <is>
          <t>Reconfirmar en la web oficial al fijar fechas.</t>
        </is>
      </c>
    </row>
    <row r="28" ht="66" customHeight="1">
      <c r="A28" s="16" t="inlineStr">
        <is>
          <t>JP-027</t>
        </is>
      </c>
      <c r="B28" s="16" t="inlineStr">
        <is>
          <t>Tokio</t>
        </is>
      </c>
      <c r="C28" s="16" t="inlineStr">
        <is>
          <t>Kanto</t>
        </is>
      </c>
      <c r="D28" s="16" t="inlineStr">
        <is>
          <t>Tokio</t>
        </is>
      </c>
      <c r="E28" s="16" t="inlineStr">
        <is>
          <t>Chiyoda</t>
        </is>
      </c>
      <c r="F28" s="16" t="inlineStr">
        <is>
          <t>Kanda</t>
        </is>
      </c>
      <c r="G28" s="16" t="inlineStr">
        <is>
          <t>Akihabara–Kanda</t>
        </is>
      </c>
      <c r="H28" s="16" t="inlineStr">
        <is>
          <t>Kanda Myojin</t>
        </is>
      </c>
      <c r="I28" s="16" t="inlineStr">
        <is>
          <t>神田明神</t>
        </is>
      </c>
      <c r="J28" s="16" t="inlineStr">
        <is>
          <t>Kanda Myojin</t>
        </is>
      </c>
      <c r="K28" s="16" t="inlineStr">
        <is>
          <t>⛩️ Templos y santuarios</t>
        </is>
      </c>
      <c r="L28" s="16" t="inlineStr">
        <is>
          <t>santuario</t>
        </is>
      </c>
      <c r="M28" s="16" t="inlineStr">
        <is>
          <t>A</t>
        </is>
      </c>
      <c r="N28" s="16" t="inlineStr">
        <is>
          <t>Puente convincente entre tradición, negocios y cultura anime.</t>
        </is>
      </c>
      <c r="O28" s="16" t="inlineStr">
        <is>
          <t>Santuario histórico protector de Kanda y Akihabara.</t>
        </is>
      </c>
      <c r="P28" s="16" t="inlineStr">
        <is>
          <t>Vende amuletos de tecnología y colabora con franquicias pop.</t>
        </is>
      </c>
      <c r="Q28" s="16" t="inlineStr">
        <is>
          <t>Santuario histórico protector de Kanda y Akihabara.</t>
        </is>
      </c>
      <c r="R28" s="16" t="inlineStr">
        <is>
          <t>45–75 min</t>
        </is>
      </c>
      <c r="S28" s="16" t="inlineStr">
        <is>
          <t>Mañana</t>
        </is>
      </c>
      <c r="T28" s="16" t="inlineStr">
        <is>
          <t>Todo el año</t>
        </is>
      </c>
      <c r="U28" s="16" t="inlineStr">
        <is>
          <t>Medio</t>
        </is>
      </c>
      <c r="V28" s="16" t="inlineStr">
        <is>
          <t>Medio</t>
        </is>
      </c>
      <c r="W28" s="89" t="n">
        <v>0</v>
      </c>
      <c r="X28" s="89" t="n">
        <v>0</v>
      </c>
      <c r="Y28" s="89">
        <f>W28*'Configuración'!$B$4</f>
        <v/>
      </c>
      <c r="Z28" s="89">
        <f>X28*'Configuración'!$B$4</f>
        <v/>
      </c>
      <c r="AA28" s="16" t="inlineStr">
        <is>
          <t>No</t>
        </is>
      </c>
      <c r="AB28" s="16" t="inlineStr">
        <is>
          <t>—</t>
        </is>
      </c>
      <c r="AC28" s="16" t="inlineStr">
        <is>
          <t>Recinto amplio; oficinas diurnas</t>
        </is>
      </c>
      <c r="AD28" s="16" t="inlineStr">
        <is>
          <t>Sin cierre ordinario</t>
        </is>
      </c>
      <c r="AE28" s="16" t="inlineStr">
        <is>
          <t>Ochanomizu / Suehirocho</t>
        </is>
      </c>
      <c r="AF28" s="16" t="inlineStr">
        <is>
          <t>Parcial; pueden existir escalones, grava o edificios sin elevador</t>
        </is>
      </c>
      <c r="AG28" s="90" t="n">
        <v>35.702</v>
      </c>
      <c r="AH28" s="90" t="n">
        <v>139.7679</v>
      </c>
      <c r="AI28" s="16" t="inlineStr">
        <is>
          <t>https://www.kandamyoujin.or.jp/english/</t>
        </is>
      </c>
      <c r="AJ28" s="16" t="inlineStr">
        <is>
          <t>Cambiante</t>
        </is>
      </c>
      <c r="AK28" s="16" t="inlineStr">
        <is>
          <t>CULTURE + TECH</t>
        </is>
      </c>
      <c r="AL28" s="16" t="inlineStr">
        <is>
          <t>anime, cultura, fotografía</t>
        </is>
      </c>
      <c r="AM28" s="91" t="n">
        <v>4</v>
      </c>
      <c r="AN28" s="91" t="n">
        <v>5</v>
      </c>
      <c r="AO28" s="91" t="n">
        <v>5</v>
      </c>
      <c r="AP28" s="91" t="n">
        <v>2</v>
      </c>
      <c r="AQ28" s="16" t="inlineStr">
        <is>
          <t>Imagen ideal: vende amuletos de tecnología y colabora con franquicias pop. con luz de mañana, sin multitudes dominando el encuadre.</t>
        </is>
      </c>
      <c r="AR28" s="16" t="inlineStr">
        <is>
          <t>Retro game hunt: Super Potato + Mandarake (~5 min a pie) | Akihabara Electric Town (~9 min a pie) | Ameyoko (~15 min a pie)</t>
        </is>
      </c>
      <c r="AS28" s="16" t="inlineStr">
        <is>
          <t>Semi-hidden</t>
        </is>
      </c>
      <c r="AT28" s="16" t="str"/>
      <c r="AU28" s="16" t="inlineStr">
        <is>
          <t>https://www.google.com/maps/search/?api=1&amp;query=Kanda%20Myojin%2C%20Chiyoda%2C%20Japan</t>
        </is>
      </c>
      <c r="AV28" s="16" t="inlineStr">
        <is>
          <t>2026-09-01</t>
        </is>
      </c>
      <c r="AW28" s="16" t="inlineStr">
        <is>
          <t>CALENDARIO / CONDICIÓN PENDIENTE</t>
        </is>
      </c>
      <c r="AX28" s="16" t="inlineStr">
        <is>
          <t>No hay cierre específico confirmado para la ventana, pero horarios o acceso pueden variar.</t>
        </is>
      </c>
      <c r="AY28" s="16" t="inlineStr">
        <is>
          <t>Reconfirmar en la web oficial al fijar fechas.</t>
        </is>
      </c>
    </row>
    <row r="29" ht="66" customHeight="1">
      <c r="A29" s="16" t="inlineStr">
        <is>
          <t>JP-028</t>
        </is>
      </c>
      <c r="B29" s="16" t="inlineStr">
        <is>
          <t>Tokio</t>
        </is>
      </c>
      <c r="C29" s="16" t="inlineStr">
        <is>
          <t>Kanto</t>
        </is>
      </c>
      <c r="D29" s="16" t="inlineStr">
        <is>
          <t>Tokio</t>
        </is>
      </c>
      <c r="E29" s="16" t="inlineStr">
        <is>
          <t>Chiyoda</t>
        </is>
      </c>
      <c r="F29" s="16" t="inlineStr">
        <is>
          <t>Jimbocho</t>
        </is>
      </c>
      <c r="G29" s="16" t="inlineStr">
        <is>
          <t>Jimbocho</t>
        </is>
      </c>
      <c r="H29" s="16" t="inlineStr">
        <is>
          <t>Jimbocho Book Town</t>
        </is>
      </c>
      <c r="I29" s="16" t="inlineStr">
        <is>
          <t>神保町古書店街</t>
        </is>
      </c>
      <c r="J29" s="16" t="inlineStr">
        <is>
          <t>Jimbocho Book Town</t>
        </is>
      </c>
      <c r="K29" s="16" t="inlineStr">
        <is>
          <t>🛍️ Compras</t>
        </is>
      </c>
      <c r="L29" s="16" t="inlineStr">
        <is>
          <t>barrio de librerías</t>
        </is>
      </c>
      <c r="M29" s="16" t="inlineStr">
        <is>
          <t>A</t>
        </is>
      </c>
      <c r="N29" s="16" t="inlineStr">
        <is>
          <t>Especialización y atmósfera intelectual difíciles de encontrar en otra megaciudad.</t>
        </is>
      </c>
      <c r="O29" s="16" t="inlineStr">
        <is>
          <t>Centenares de librerías nuevas, usadas, mapas, cine y arte.</t>
        </is>
      </c>
      <c r="P29" s="16" t="inlineStr">
        <is>
          <t>Los escaparates y cafés conservan una cultura urbana no diseñada para turistas.</t>
        </is>
      </c>
      <c r="Q29" s="16" t="inlineStr">
        <is>
          <t>Centenares de librerías nuevas, usadas, mapas, cine y arte.</t>
        </is>
      </c>
      <c r="R29" s="16" t="inlineStr">
        <is>
          <t>2–4 h</t>
        </is>
      </c>
      <c r="S29" s="16" t="inlineStr">
        <is>
          <t>Tarde</t>
        </is>
      </c>
      <c r="T29" s="16" t="inlineStr">
        <is>
          <t>Días laborables/sábado</t>
        </is>
      </c>
      <c r="U29" s="16" t="inlineStr">
        <is>
          <t>Bajo</t>
        </is>
      </c>
      <c r="V29" s="16" t="inlineStr">
        <is>
          <t>Bajo</t>
        </is>
      </c>
      <c r="W29" s="89" t="n">
        <v>0</v>
      </c>
      <c r="X29" s="89" t="n">
        <v>0</v>
      </c>
      <c r="Y29" s="89">
        <f>W29*'Configuración'!$B$4</f>
        <v/>
      </c>
      <c r="Z29" s="89">
        <f>X29*'Configuración'!$B$4</f>
        <v/>
      </c>
      <c r="AA29" s="16" t="inlineStr">
        <is>
          <t>No</t>
        </is>
      </c>
      <c r="AB29" s="16" t="inlineStr">
        <is>
          <t>—</t>
        </is>
      </c>
      <c r="AC29" s="16" t="inlineStr">
        <is>
          <t>Tiendas aprox. 10:00–19:00</t>
        </is>
      </c>
      <c r="AD29" s="16" t="inlineStr">
        <is>
          <t>Muchos domingos</t>
        </is>
      </c>
      <c r="AE29" s="16" t="inlineStr">
        <is>
          <t>Metro Jimbocho</t>
        </is>
      </c>
      <c r="AF29" s="16" t="inlineStr">
        <is>
          <t>Buena en áreas principales; confirmar detalles con el recinto</t>
        </is>
      </c>
      <c r="AG29" s="90" t="n">
        <v>35.6956</v>
      </c>
      <c r="AH29" s="90" t="n">
        <v>139.7576</v>
      </c>
      <c r="AI29" s="16" t="inlineStr">
        <is>
          <t>https://www.gotokyo.org/en/index.html</t>
        </is>
      </c>
      <c r="AJ29" s="16" t="inlineStr">
        <is>
          <t>Cambiante</t>
        </is>
      </c>
      <c r="AK29" s="16" t="inlineStr">
        <is>
          <t>HIDDEN GEM</t>
        </is>
      </c>
      <c r="AL29" s="16" t="inlineStr">
        <is>
          <t>libros, arte, cafés, lluvia</t>
        </is>
      </c>
      <c r="AM29" s="91" t="n">
        <v>3</v>
      </c>
      <c r="AN29" s="91" t="n">
        <v>5</v>
      </c>
      <c r="AO29" s="91" t="n">
        <v>5</v>
      </c>
      <c r="AP29" s="91" t="n">
        <v>1</v>
      </c>
      <c r="AQ29" s="16" t="inlineStr">
        <is>
          <t>Imagen ideal: los escaparates y cafés conservan una cultura urbana no diseñada para turistas. con luz de tarde, sin multitudes dominando el encuadre.</t>
        </is>
      </c>
      <c r="AR29" s="16" t="inlineStr">
        <is>
          <t>Kanda Myojin (~16 min a pie) | Imperial Palace East Gardens (~17 min a pie) | Retro game hunt: Super Potato + Mandarake (~19 min a pie)</t>
        </is>
      </c>
      <c r="AS29" s="16" t="inlineStr">
        <is>
          <t>Hidden Gem real</t>
        </is>
      </c>
      <c r="AT29" s="16" t="str"/>
      <c r="AU29" s="16" t="inlineStr">
        <is>
          <t>https://www.google.com/maps/search/?api=1&amp;query=Jimbocho%20Book%20Town%2C%20Chiyoda%2C%20Japan</t>
        </is>
      </c>
      <c r="AV29" s="16" t="inlineStr">
        <is>
          <t>2026-09-01</t>
        </is>
      </c>
      <c r="AW29" s="16" t="inlineStr">
        <is>
          <t>CALENDARIO / CONDICIÓN PENDIENTE</t>
        </is>
      </c>
      <c r="AX29" s="16" t="inlineStr">
        <is>
          <t>No hay cierre específico confirmado para la ventana, pero horarios o acceso pueden variar.</t>
        </is>
      </c>
      <c r="AY29" s="16" t="inlineStr">
        <is>
          <t>Reconfirmar en la web oficial al fijar fechas.</t>
        </is>
      </c>
    </row>
    <row r="30" ht="66" customHeight="1">
      <c r="A30" s="16" t="inlineStr">
        <is>
          <t>JP-029</t>
        </is>
      </c>
      <c r="B30" s="16" t="inlineStr">
        <is>
          <t>Tokio</t>
        </is>
      </c>
      <c r="C30" s="16" t="inlineStr">
        <is>
          <t>Kanto</t>
        </is>
      </c>
      <c r="D30" s="16" t="inlineStr">
        <is>
          <t>Tokio</t>
        </is>
      </c>
      <c r="E30" s="16" t="inlineStr">
        <is>
          <t>Chiyoda</t>
        </is>
      </c>
      <c r="F30" s="16" t="inlineStr">
        <is>
          <t>Marunouchi</t>
        </is>
      </c>
      <c r="G30" s="16" t="inlineStr">
        <is>
          <t>Marunouchi–Ginza</t>
        </is>
      </c>
      <c r="H30" s="16" t="inlineStr">
        <is>
          <t>Imperial Palace East Gardens</t>
        </is>
      </c>
      <c r="I30" s="16" t="inlineStr">
        <is>
          <t>皇居東御苑</t>
        </is>
      </c>
      <c r="J30" s="16" t="inlineStr">
        <is>
          <t>Imperial Palace East Gardens</t>
        </is>
      </c>
      <c r="K30" s="16" t="inlineStr">
        <is>
          <t>🌸 Jardines y paisajes</t>
        </is>
      </c>
      <c r="L30" s="16" t="inlineStr">
        <is>
          <t>jardín histórico</t>
        </is>
      </c>
      <c r="M30" s="16" t="inlineStr">
        <is>
          <t>A</t>
        </is>
      </c>
      <c r="N30" s="16" t="inlineStr">
        <is>
          <t>Paisaje, murallas y vacío urbano de gran escala sin costo.</t>
        </is>
      </c>
      <c r="O30" s="16" t="inlineStr">
        <is>
          <t>Jardines del antiguo Edo Castle dentro del recinto imperial.</t>
        </is>
      </c>
      <c r="P30" s="16" t="inlineStr">
        <is>
          <t>Permite entender la topografía política de Tokio.</t>
        </is>
      </c>
      <c r="Q30" s="16" t="inlineStr">
        <is>
          <t>Jardines del antiguo Edo Castle dentro del recinto imperial.</t>
        </is>
      </c>
      <c r="R30" s="16" t="inlineStr">
        <is>
          <t>1.5–2.5 h</t>
        </is>
      </c>
      <c r="S30" s="16" t="inlineStr">
        <is>
          <t>Mañana</t>
        </is>
      </c>
      <c r="T30" s="16" t="inlineStr">
        <is>
          <t>Primavera y otoño</t>
        </is>
      </c>
      <c r="U30" s="16" t="inlineStr">
        <is>
          <t>Medio</t>
        </is>
      </c>
      <c r="V30" s="16" t="inlineStr">
        <is>
          <t>Medio</t>
        </is>
      </c>
      <c r="W30" s="89" t="n">
        <v>0</v>
      </c>
      <c r="X30" s="89" t="n">
        <v>0</v>
      </c>
      <c r="Y30" s="89">
        <f>W30*'Configuración'!$B$4</f>
        <v/>
      </c>
      <c r="Z30" s="89">
        <f>X30*'Configuración'!$B$4</f>
        <v/>
      </c>
      <c r="AA30" s="16" t="inlineStr">
        <is>
          <t>No</t>
        </is>
      </c>
      <c r="AB30" s="16" t="inlineStr">
        <is>
          <t>—</t>
        </is>
      </c>
      <c r="AC30" s="16" t="inlineStr">
        <is>
          <t>09:00–16:30/17:00 según temporada</t>
        </is>
      </c>
      <c r="AD30" s="16" t="inlineStr">
        <is>
          <t>Lunes, viernes y actos; verificar</t>
        </is>
      </c>
      <c r="AE30" s="16" t="inlineStr">
        <is>
          <t>Otemachi / Takebashi</t>
        </is>
      </c>
      <c r="AF30" s="16" t="inlineStr">
        <is>
          <t>Parcial; pueden existir escalones, grava o edificios sin elevador</t>
        </is>
      </c>
      <c r="AG30" s="90" t="n">
        <v>35.6852</v>
      </c>
      <c r="AH30" s="90" t="n">
        <v>139.7528</v>
      </c>
      <c r="AI30" s="16" t="inlineStr">
        <is>
          <t>https://www.kunaicho.go.jp/e-event/higashigyoen.html</t>
        </is>
      </c>
      <c r="AJ30" s="16" t="inlineStr">
        <is>
          <t>Cambiante</t>
        </is>
      </c>
      <c r="AK30" s="16" t="inlineStr">
        <is>
          <t>HISTORY</t>
        </is>
      </c>
      <c r="AL30" s="16" t="inlineStr">
        <is>
          <t>historia, jardines, fotografía</t>
        </is>
      </c>
      <c r="AM30" s="91" t="n">
        <v>4</v>
      </c>
      <c r="AN30" s="91" t="n">
        <v>4</v>
      </c>
      <c r="AO30" s="91" t="n">
        <v>5</v>
      </c>
      <c r="AP30" s="91" t="n">
        <v>2</v>
      </c>
      <c r="AQ30" s="16" t="inlineStr">
        <is>
          <t>Imagen ideal: permite entender la topografía política de tokio. con luz de mañana, sin multitudes dominando el encuadre.</t>
        </is>
      </c>
      <c r="AR30" s="16" t="inlineStr">
        <is>
          <t>Jimbocho Book Town (~17 min a pie) | Tokyo Station Marunouchi Building (~19 min a pie) | Kagurazaka backstreets (~30 min en transporte)</t>
        </is>
      </c>
      <c r="AS30" s="16" t="inlineStr">
        <is>
          <t>Lugar conocido pero excelente</t>
        </is>
      </c>
      <c r="AT30" s="16" t="str"/>
      <c r="AU30" s="16" t="inlineStr">
        <is>
          <t>https://www.google.com/maps/search/?api=1&amp;query=Imperial%20Palace%20East%20Gardens%2C%20Chiyoda%2C%20Japan</t>
        </is>
      </c>
      <c r="AV30" s="16" t="inlineStr">
        <is>
          <t>2026-09-01</t>
        </is>
      </c>
      <c r="AW30" s="16" t="inlineStr">
        <is>
          <t>CALENDARIO / CONDICIÓN PENDIENTE</t>
        </is>
      </c>
      <c r="AX30" s="16" t="inlineStr">
        <is>
          <t>No hay cierre específico confirmado para la ventana, pero horarios o acceso pueden variar.</t>
        </is>
      </c>
      <c r="AY30" s="16" t="inlineStr">
        <is>
          <t>Reconfirmar en la web oficial al fijar fechas.</t>
        </is>
      </c>
    </row>
    <row r="31" ht="66" customHeight="1">
      <c r="A31" s="16" t="inlineStr">
        <is>
          <t>JP-030</t>
        </is>
      </c>
      <c r="B31" s="16" t="inlineStr">
        <is>
          <t>Tokio</t>
        </is>
      </c>
      <c r="C31" s="16" t="inlineStr">
        <is>
          <t>Kanto</t>
        </is>
      </c>
      <c r="D31" s="16" t="inlineStr">
        <is>
          <t>Tokio</t>
        </is>
      </c>
      <c r="E31" s="16" t="inlineStr">
        <is>
          <t>Chiyoda</t>
        </is>
      </c>
      <c r="F31" s="16" t="inlineStr">
        <is>
          <t>Marunouchi</t>
        </is>
      </c>
      <c r="G31" s="16" t="inlineStr">
        <is>
          <t>Marunouchi–Ginza</t>
        </is>
      </c>
      <c r="H31" s="16" t="inlineStr">
        <is>
          <t>Tokyo Station Marunouchi Building</t>
        </is>
      </c>
      <c r="I31" s="16" t="inlineStr">
        <is>
          <t>東京駅丸の内駅舎</t>
        </is>
      </c>
      <c r="J31" s="16" t="inlineStr">
        <is>
          <t>Tokyo Station Marunouchi Building</t>
        </is>
      </c>
      <c r="K31" s="16" t="inlineStr">
        <is>
          <t>🏙️ Ciudad y barrios</t>
        </is>
      </c>
      <c r="L31" s="16" t="inlineStr">
        <is>
          <t>arquitectura/estación</t>
        </is>
      </c>
      <c r="M31" s="16" t="inlineStr">
        <is>
          <t>A</t>
        </is>
      </c>
      <c r="N31" s="16" t="inlineStr">
        <is>
          <t>Nodo funcional y monumento urbano; excelente punto visual de día y noche.</t>
        </is>
      </c>
      <c r="O31" s="16" t="inlineStr">
        <is>
          <t>Fachada histórica restaurada, cúpulas y eje hacia el Palacio Imperial.</t>
        </is>
      </c>
      <c r="P31" s="16" t="inlineStr">
        <is>
          <t>Combina infraestructura ferroviaria viva con arquitectura de 1914.</t>
        </is>
      </c>
      <c r="Q31" s="16" t="inlineStr">
        <is>
          <t>Fachada histórica restaurada, cúpulas y eje hacia el Palacio Imperial.</t>
        </is>
      </c>
      <c r="R31" s="16" t="inlineStr">
        <is>
          <t>30–75 min</t>
        </is>
      </c>
      <c r="S31" s="16" t="inlineStr">
        <is>
          <t>Noche</t>
        </is>
      </c>
      <c r="T31" s="16" t="inlineStr">
        <is>
          <t>Todo el año</t>
        </is>
      </c>
      <c r="U31" s="16" t="inlineStr">
        <is>
          <t>Extremo</t>
        </is>
      </c>
      <c r="V31" s="16" t="inlineStr">
        <is>
          <t>Alto</t>
        </is>
      </c>
      <c r="W31" s="89" t="n">
        <v>0</v>
      </c>
      <c r="X31" s="89" t="n">
        <v>0</v>
      </c>
      <c r="Y31" s="89">
        <f>W31*'Configuración'!$B$4</f>
        <v/>
      </c>
      <c r="Z31" s="89">
        <f>X31*'Configuración'!$B$4</f>
        <v/>
      </c>
      <c r="AA31" s="16" t="inlineStr">
        <is>
          <t>No</t>
        </is>
      </c>
      <c r="AB31" s="16" t="inlineStr">
        <is>
          <t>—</t>
        </is>
      </c>
      <c r="AC31" s="16" t="inlineStr">
        <is>
          <t>Estación 24 h; comercios variables</t>
        </is>
      </c>
      <c r="AD31" s="16" t="inlineStr">
        <is>
          <t>Sin cierre</t>
        </is>
      </c>
      <c r="AE31" s="16" t="inlineStr">
        <is>
          <t>JR/Metro Tokyo</t>
        </is>
      </c>
      <c r="AF31" s="16" t="inlineStr">
        <is>
          <t>Buena en áreas principales; confirmar detalles con el recinto</t>
        </is>
      </c>
      <c r="AG31" s="90" t="n">
        <v>35.6812</v>
      </c>
      <c r="AH31" s="90" t="n">
        <v>139.7671</v>
      </c>
      <c r="AI31" s="16" t="inlineStr">
        <is>
          <t>https://www.tokyostationcity.com/en/</t>
        </is>
      </c>
      <c r="AJ31" s="16" t="inlineStr">
        <is>
          <t>Cambiante</t>
        </is>
      </c>
      <c r="AK31" s="16" t="inlineStr">
        <is>
          <t>ARCHITECTURE</t>
        </is>
      </c>
      <c r="AL31" s="16" t="inlineStr">
        <is>
          <t>arquitectura, trenes, fotografía</t>
        </is>
      </c>
      <c r="AM31" s="91" t="n">
        <v>5</v>
      </c>
      <c r="AN31" s="91" t="n">
        <v>4</v>
      </c>
      <c r="AO31" s="91" t="n">
        <v>5</v>
      </c>
      <c r="AP31" s="91" t="n">
        <v>4</v>
      </c>
      <c r="AQ31" s="16" t="inlineStr">
        <is>
          <t>Imagen ideal: combina infraestructura ferroviaria viva con arquitectura de 1914. con luz de noche, sin multitudes dominando el encuadre.</t>
        </is>
      </c>
      <c r="AR31" s="16" t="inlineStr">
        <is>
          <t>Imperial Palace East Gardens (~19 min a pie) | Tsukiji Outer Market (~25 min a pie) | Jimbocho Book Town (~25 min en transporte)</t>
        </is>
      </c>
      <c r="AS31" s="16" t="inlineStr">
        <is>
          <t>Popular / turístico</t>
        </is>
      </c>
      <c r="AT31" s="16" t="str"/>
      <c r="AU31" s="16" t="inlineStr">
        <is>
          <t>https://www.google.com/maps/search/?api=1&amp;query=Tokyo%20Station%20Marunouchi%20Building%2C%20Chiyoda%2C%20Japan</t>
        </is>
      </c>
      <c r="AV31" s="16" t="inlineStr">
        <is>
          <t>2026-09-01</t>
        </is>
      </c>
      <c r="AW31" s="16" t="inlineStr">
        <is>
          <t>CALENDARIO / CONDICIÓN PENDIENTE</t>
        </is>
      </c>
      <c r="AX31" s="16" t="inlineStr">
        <is>
          <t>No hay cierre específico confirmado para la ventana, pero horarios o acceso pueden variar.</t>
        </is>
      </c>
      <c r="AY31" s="16" t="inlineStr">
        <is>
          <t>Reconfirmar en la web oficial al fijar fechas.</t>
        </is>
      </c>
    </row>
    <row r="32" ht="66" customHeight="1">
      <c r="A32" s="16" t="inlineStr">
        <is>
          <t>JP-031</t>
        </is>
      </c>
      <c r="B32" s="16" t="inlineStr">
        <is>
          <t>Tokio</t>
        </is>
      </c>
      <c r="C32" s="16" t="inlineStr">
        <is>
          <t>Kanto</t>
        </is>
      </c>
      <c r="D32" s="16" t="inlineStr">
        <is>
          <t>Tokio</t>
        </is>
      </c>
      <c r="E32" s="16" t="inlineStr">
        <is>
          <t>Chuo</t>
        </is>
      </c>
      <c r="F32" s="16" t="inlineStr">
        <is>
          <t>Shiodome</t>
        </is>
      </c>
      <c r="G32" s="16" t="inlineStr">
        <is>
          <t>Marunouchi–Ginza</t>
        </is>
      </c>
      <c r="H32" s="16" t="inlineStr">
        <is>
          <t>Hama-rikyu Gardens</t>
        </is>
      </c>
      <c r="I32" s="16" t="inlineStr">
        <is>
          <t>浜離宮恩賜庭園</t>
        </is>
      </c>
      <c r="J32" s="16" t="inlineStr">
        <is>
          <t>Hama-rikyu Gardens</t>
        </is>
      </c>
      <c r="K32" s="16" t="inlineStr">
        <is>
          <t>🌸 Jardines y paisajes</t>
        </is>
      </c>
      <c r="L32" s="16" t="inlineStr">
        <is>
          <t>jardín</t>
        </is>
      </c>
      <c r="M32" s="16" t="inlineStr">
        <is>
          <t>A</t>
        </is>
      </c>
      <c r="N32" s="16" t="inlineStr">
        <is>
          <t>Uno de los mejores contrastes entre jardín feudal, agua salada y rascacielos.</t>
        </is>
      </c>
      <c r="O32" s="16" t="inlineStr">
        <is>
          <t>Jardín daimyō con estanque mareal y casa de té.</t>
        </is>
      </c>
      <c r="P32" s="16" t="inlineStr">
        <is>
          <t>La marea de la bahía altera el paisaje interior.</t>
        </is>
      </c>
      <c r="Q32" s="16" t="inlineStr">
        <is>
          <t>Jardín daimyō con estanque mareal y casa de té.</t>
        </is>
      </c>
      <c r="R32" s="16" t="inlineStr">
        <is>
          <t>1.5–2.5 h</t>
        </is>
      </c>
      <c r="S32" s="16" t="inlineStr">
        <is>
          <t>Mañana</t>
        </is>
      </c>
      <c r="T32" s="16" t="inlineStr">
        <is>
          <t>Colza, peonías y otoño</t>
        </is>
      </c>
      <c r="U32" s="16" t="inlineStr">
        <is>
          <t>Medio</t>
        </is>
      </c>
      <c r="V32" s="16" t="inlineStr">
        <is>
          <t>Medio</t>
        </is>
      </c>
      <c r="W32" s="89" t="n">
        <v>300</v>
      </c>
      <c r="X32" s="89" t="n">
        <v>300</v>
      </c>
      <c r="Y32" s="89">
        <f>W32*'Configuración'!$B$4</f>
        <v/>
      </c>
      <c r="Z32" s="89">
        <f>X32*'Configuración'!$B$4</f>
        <v/>
      </c>
      <c r="AA32" s="16" t="inlineStr">
        <is>
          <t>No</t>
        </is>
      </c>
      <c r="AB32" s="16" t="inlineStr">
        <is>
          <t>—</t>
        </is>
      </c>
      <c r="AC32" s="16" t="inlineStr">
        <is>
          <t>09:00–17:00</t>
        </is>
      </c>
      <c r="AD32" s="16" t="inlineStr">
        <is>
          <t>Fin de año; verificar</t>
        </is>
      </c>
      <c r="AE32" s="16" t="inlineStr">
        <is>
          <t>Shiodome / Tsukijishijo</t>
        </is>
      </c>
      <c r="AF32" s="16" t="inlineStr">
        <is>
          <t>Parcial; pueden existir escalones, grava o edificios sin elevador</t>
        </is>
      </c>
      <c r="AG32" s="90" t="n">
        <v>35.6597</v>
      </c>
      <c r="AH32" s="90" t="n">
        <v>139.7635</v>
      </c>
      <c r="AI32" s="16" t="inlineStr">
        <is>
          <t>https://www.tokyo-park.or.jp/park/hama-rikyu/</t>
        </is>
      </c>
      <c r="AJ32" s="16" t="inlineStr">
        <is>
          <t>Cambiante</t>
        </is>
      </c>
      <c r="AK32" s="16" t="inlineStr">
        <is>
          <t>GARDEN</t>
        </is>
      </c>
      <c r="AL32" s="16" t="inlineStr">
        <is>
          <t>pareja, jardines, cultura, fotografía</t>
        </is>
      </c>
      <c r="AM32" s="91" t="n">
        <v>5</v>
      </c>
      <c r="AN32" s="91" t="n">
        <v>5</v>
      </c>
      <c r="AO32" s="91" t="n">
        <v>5</v>
      </c>
      <c r="AP32" s="91" t="n">
        <v>2</v>
      </c>
      <c r="AQ32" s="16" t="inlineStr">
        <is>
          <t>Imagen ideal: la marea de la bahía altera el paisaje interior. con luz de mañana, sin multitudes dominando el encuadre.</t>
        </is>
      </c>
      <c r="AR32" s="16" t="inlineStr">
        <is>
          <t>Tsukiji Outer Market (~13 min a pie) | Zōjō-ji + Tokyo Tower view (~20 min a pie) | teamLab Borderless (~29 min en transporte)</t>
        </is>
      </c>
      <c r="AS32" s="16" t="inlineStr">
        <is>
          <t>Semi-hidden</t>
        </is>
      </c>
      <c r="AT32" s="16" t="str"/>
      <c r="AU32" s="16" t="inlineStr">
        <is>
          <t>https://www.google.com/maps/search/?api=1&amp;query=Hama-rikyu%20Gardens%2C%20Chuo%2C%20Japan</t>
        </is>
      </c>
      <c r="AV32" s="16" t="inlineStr">
        <is>
          <t>2026-09-01</t>
        </is>
      </c>
      <c r="AW32" s="16" t="inlineStr">
        <is>
          <t>CALENDARIO / CONDICIÓN PENDIENTE</t>
        </is>
      </c>
      <c r="AX32" s="16" t="inlineStr">
        <is>
          <t>No hay cierre específico confirmado para la ventana, pero horarios o acceso pueden variar.</t>
        </is>
      </c>
      <c r="AY32" s="16" t="inlineStr">
        <is>
          <t>Reconfirmar en la web oficial al fijar fechas.</t>
        </is>
      </c>
    </row>
    <row r="33" ht="66" customHeight="1">
      <c r="A33" s="16" t="inlineStr">
        <is>
          <t>JP-032</t>
        </is>
      </c>
      <c r="B33" s="16" t="inlineStr">
        <is>
          <t>Tokio</t>
        </is>
      </c>
      <c r="C33" s="16" t="inlineStr">
        <is>
          <t>Kanto</t>
        </is>
      </c>
      <c r="D33" s="16" t="inlineStr">
        <is>
          <t>Tokio</t>
        </is>
      </c>
      <c r="E33" s="16" t="inlineStr">
        <is>
          <t>Chuo</t>
        </is>
      </c>
      <c r="F33" s="16" t="inlineStr">
        <is>
          <t>Tsukiji</t>
        </is>
      </c>
      <c r="G33" s="16" t="inlineStr">
        <is>
          <t>Marunouchi–Ginza</t>
        </is>
      </c>
      <c r="H33" s="16" t="inlineStr">
        <is>
          <t>Tsukiji Outer Market</t>
        </is>
      </c>
      <c r="I33" s="16" t="inlineStr">
        <is>
          <t>築地場外市場</t>
        </is>
      </c>
      <c r="J33" s="16" t="inlineStr">
        <is>
          <t>Tsukiji Outer Market</t>
        </is>
      </c>
      <c r="K33" s="16" t="inlineStr">
        <is>
          <t>🍜 Gastronomía</t>
        </is>
      </c>
      <c r="L33" s="16" t="inlineStr">
        <is>
          <t>mercado gastronómico</t>
        </is>
      </c>
      <c r="M33" s="16" t="inlineStr">
        <is>
          <t>C</t>
        </is>
      </c>
      <c r="N33" s="16" t="inlineStr">
        <is>
          <t>Sigue teniendo buenos especialistas, pero filas, sobreprecio y oferta viral reducen el valor.</t>
        </is>
      </c>
      <c r="O33" s="16" t="inlineStr">
        <is>
          <t>Calles de pescaderías, desayunos, cuchillos y productos secos.</t>
        </is>
      </c>
      <c r="P33" s="16" t="inlineStr">
        <is>
          <t>El antiguo mercado mayorista ya no opera aquí; conviene seleccionar negocios concretos.</t>
        </is>
      </c>
      <c r="Q33" s="16" t="inlineStr">
        <is>
          <t>Calles de pescaderías, desayunos, cuchillos y productos secos.</t>
        </is>
      </c>
      <c r="R33" s="16" t="inlineStr">
        <is>
          <t>1–2 h</t>
        </is>
      </c>
      <c r="S33" s="16" t="inlineStr">
        <is>
          <t>Mañana</t>
        </is>
      </c>
      <c r="T33" s="16" t="inlineStr">
        <is>
          <t>Días laborables/sábado</t>
        </is>
      </c>
      <c r="U33" s="16" t="inlineStr">
        <is>
          <t>Extremo</t>
        </is>
      </c>
      <c r="V33" s="16" t="inlineStr">
        <is>
          <t>Extremo</t>
        </is>
      </c>
      <c r="W33" s="89" t="n">
        <v>1000</v>
      </c>
      <c r="X33" s="89" t="n">
        <v>6000</v>
      </c>
      <c r="Y33" s="89">
        <f>W33*'Configuración'!$B$4</f>
        <v/>
      </c>
      <c r="Z33" s="89">
        <f>X33*'Configuración'!$B$4</f>
        <v/>
      </c>
      <c r="AA33" s="16" t="inlineStr">
        <is>
          <t>No</t>
        </is>
      </c>
      <c r="AB33" s="16" t="inlineStr">
        <is>
          <t>—</t>
        </is>
      </c>
      <c r="AC33" s="16" t="inlineStr">
        <is>
          <t>Muchos locales 06:00–14:00</t>
        </is>
      </c>
      <c r="AD33" s="16" t="inlineStr">
        <is>
          <t>Miércoles/domingo variable</t>
        </is>
      </c>
      <c r="AE33" s="16" t="inlineStr">
        <is>
          <t>Tsukiji / Tsukijishijo</t>
        </is>
      </c>
      <c r="AF33" s="16" t="inlineStr">
        <is>
          <t>Buena en áreas principales; confirmar detalles con el recinto</t>
        </is>
      </c>
      <c r="AG33" s="90" t="n">
        <v>35.6655</v>
      </c>
      <c r="AH33" s="90" t="n">
        <v>139.7707</v>
      </c>
      <c r="AI33" s="16" t="inlineStr">
        <is>
          <t>https://www.tsukiji.or.jp/english/</t>
        </is>
      </c>
      <c r="AJ33" s="16" t="inlineStr">
        <is>
          <t>Cambiante</t>
        </is>
      </c>
      <c r="AK33" s="16" t="inlineStr">
        <is>
          <t>FOOD / TOURISTY</t>
        </is>
      </c>
      <c r="AL33" s="16" t="inlineStr">
        <is>
          <t>comida, mercado</t>
        </is>
      </c>
      <c r="AM33" s="91" t="n">
        <v>3</v>
      </c>
      <c r="AN33" s="91" t="n">
        <v>2</v>
      </c>
      <c r="AO33" s="91" t="n">
        <v>2</v>
      </c>
      <c r="AP33" s="91" t="n">
        <v>5</v>
      </c>
      <c r="AQ33" s="16" t="inlineStr">
        <is>
          <t>Imagen ideal: el antiguo mercado mayorista ya no opera aquí; conviene seleccionar negocios concretos. con luz de mañana, sin multitudes dominando el encuadre.</t>
        </is>
      </c>
      <c r="AR33" s="16" t="inlineStr">
        <is>
          <t>Hama-rikyu Gardens (~13 min a pie) | Tokyo Station Marunouchi Building (~25 min a pie) | Zōjō-ji + Tokyo Tower view (~31 min en transporte)</t>
        </is>
      </c>
      <c r="AS33" s="16" t="inlineStr">
        <is>
          <t>Popular / turístico</t>
        </is>
      </c>
      <c r="AT33" s="16" t="str"/>
      <c r="AU33" s="16" t="inlineStr">
        <is>
          <t>https://www.google.com/maps/search/?api=1&amp;query=Tsukiji%20Outer%20Market%2C%20Chuo%2C%20Japan</t>
        </is>
      </c>
      <c r="AV33" s="16" t="inlineStr">
        <is>
          <t>2026-09-01</t>
        </is>
      </c>
      <c r="AW33" s="16" t="inlineStr">
        <is>
          <t>CALENDARIO / CONDICIÓN PENDIENTE</t>
        </is>
      </c>
      <c r="AX33" s="16" t="inlineStr">
        <is>
          <t>No hay cierre específico confirmado para la ventana, pero horarios o acceso pueden variar.</t>
        </is>
      </c>
      <c r="AY33" s="16" t="inlineStr">
        <is>
          <t>Reconfirmar en la web oficial al fijar fechas.</t>
        </is>
      </c>
    </row>
    <row r="34" ht="66" customHeight="1">
      <c r="A34" s="16" t="inlineStr">
        <is>
          <t>JP-033</t>
        </is>
      </c>
      <c r="B34" s="16" t="inlineStr">
        <is>
          <t>Tokio</t>
        </is>
      </c>
      <c r="C34" s="16" t="inlineStr">
        <is>
          <t>Kanto</t>
        </is>
      </c>
      <c r="D34" s="16" t="inlineStr">
        <is>
          <t>Tokio</t>
        </is>
      </c>
      <c r="E34" s="16" t="inlineStr">
        <is>
          <t>Minato</t>
        </is>
      </c>
      <c r="F34" s="16" t="inlineStr">
        <is>
          <t>Azabudai</t>
        </is>
      </c>
      <c r="G34" s="16" t="inlineStr">
        <is>
          <t>Roppongi–Azabudai</t>
        </is>
      </c>
      <c r="H34" s="16" t="inlineStr">
        <is>
          <t>teamLab Borderless</t>
        </is>
      </c>
      <c r="I34" s="16" t="inlineStr">
        <is>
          <t>チームラボボーダレス</t>
        </is>
      </c>
      <c r="J34" s="16" t="inlineStr">
        <is>
          <t>teamLab Borderless</t>
        </is>
      </c>
      <c r="K34" s="16" t="inlineStr">
        <is>
          <t>🎨 Arte</t>
        </is>
      </c>
      <c r="L34" s="16" t="inlineStr">
        <is>
          <t>museo inmersivo</t>
        </is>
      </c>
      <c r="M34" s="16" t="inlineStr">
        <is>
          <t>S</t>
        </is>
      </c>
      <c r="N34" s="16" t="inlineStr">
        <is>
          <t>La experiencia digital más libre y exploratoria de Tokio.</t>
        </is>
      </c>
      <c r="O34" s="16" t="inlineStr">
        <is>
          <t>Museo sin mapa de instalaciones audiovisuales interconectadas.</t>
        </is>
      </c>
      <c r="P34" s="16" t="inlineStr">
        <is>
          <t>Las obras migran entre salas y premian perderse, a diferencia de un recorrido lineal.</t>
        </is>
      </c>
      <c r="Q34" s="16" t="inlineStr">
        <is>
          <t>Museo sin mapa de instalaciones audiovisuales interconectadas.</t>
        </is>
      </c>
      <c r="R34" s="16" t="inlineStr">
        <is>
          <t>2.5–4 h</t>
        </is>
      </c>
      <c r="S34" s="16" t="inlineStr">
        <is>
          <t>Mañana</t>
        </is>
      </c>
      <c r="T34" s="16" t="inlineStr">
        <is>
          <t>Todo el año</t>
        </is>
      </c>
      <c r="U34" s="16" t="inlineStr">
        <is>
          <t>Extremo</t>
        </is>
      </c>
      <c r="V34" s="16" t="inlineStr">
        <is>
          <t>Extremo</t>
        </is>
      </c>
      <c r="W34" s="89" t="n">
        <v>3600</v>
      </c>
      <c r="X34" s="89" t="n">
        <v>5600</v>
      </c>
      <c r="Y34" s="89">
        <f>W34*'Configuración'!$B$4</f>
        <v/>
      </c>
      <c r="Z34" s="89">
        <f>X34*'Configuración'!$B$4</f>
        <v/>
      </c>
      <c r="AA34" s="16" t="inlineStr">
        <is>
          <t>Sí</t>
        </is>
      </c>
      <c r="AB34" s="16" t="inlineStr">
        <is>
          <t>2–4 semanas</t>
        </is>
      </c>
      <c r="AC34" s="16" t="inlineStr">
        <is>
          <t>Horario variable por fecha</t>
        </is>
      </c>
      <c r="AD34" s="16" t="inlineStr">
        <is>
          <t>Variable</t>
        </is>
      </c>
      <c r="AE34" s="16" t="inlineStr">
        <is>
          <t>Kamiyacho / Roppongi-itchome</t>
        </is>
      </c>
      <c r="AF34" s="16" t="inlineStr">
        <is>
          <t>Buena en áreas principales; confirmar detalles con el recinto</t>
        </is>
      </c>
      <c r="AG34" s="90" t="n">
        <v>35.6605</v>
      </c>
      <c r="AH34" s="90" t="n">
        <v>139.7405</v>
      </c>
      <c r="AI34" s="16" t="inlineStr">
        <is>
          <t>https://www.teamlab.art/e/tokyo/</t>
        </is>
      </c>
      <c r="AJ34" s="16" t="inlineStr">
        <is>
          <t>Cambiante</t>
        </is>
      </c>
      <c r="AK34" s="16" t="inlineStr">
        <is>
          <t>MUST SEE / ART</t>
        </is>
      </c>
      <c r="AL34" s="16" t="inlineStr">
        <is>
          <t>pareja, arte, tecnología, fotografía</t>
        </is>
      </c>
      <c r="AM34" s="91" t="n">
        <v>5</v>
      </c>
      <c r="AN34" s="91" t="n">
        <v>5</v>
      </c>
      <c r="AO34" s="91" t="n">
        <v>4</v>
      </c>
      <c r="AP34" s="91" t="n">
        <v>5</v>
      </c>
      <c r="AQ34" s="16" t="inlineStr">
        <is>
          <t>Imagen ideal: las obras migran entre salas y premian perderse, a diferencia de un recorrido lineal. con luz de mañana, sin multitudes dominando el encuadre.</t>
        </is>
      </c>
      <c r="AR34" s="16" t="inlineStr">
        <is>
          <t>Zōjō-ji + Tokyo Tower view (~11 min a pie) | Mori Art Museum + Tokyo City View (~14 min a pie) | 21_21 DESIGN SIGHT (~17 min a pie)</t>
        </is>
      </c>
      <c r="AS34" s="16" t="inlineStr">
        <is>
          <t>Popular / turístico</t>
        </is>
      </c>
      <c r="AT34" s="16" t="str"/>
      <c r="AU34" s="16" t="inlineStr">
        <is>
          <t>https://www.google.com/maps/search/?api=1&amp;query=teamLab%20Borderless%2C%20Minato%2C%20Japan</t>
        </is>
      </c>
      <c r="AV34" s="16" t="inlineStr">
        <is>
          <t>2026-09-01</t>
        </is>
      </c>
      <c r="AW34" s="16" t="inlineStr">
        <is>
          <t>ABIERTO CONFIRMADO</t>
        </is>
      </c>
      <c r="AX34" s="16" t="inlineStr">
        <is>
          <t>Sede permanente en Azabudai Hills desde 2024; no es la antigua sede de Odaiba y no fue sustituida por Planets.</t>
        </is>
      </c>
      <c r="AY34" s="16" t="inlineStr">
        <is>
          <t>Comprar franja horaria y reconfirmar horario/precio de la fecha.</t>
        </is>
      </c>
    </row>
    <row r="35" ht="66" customHeight="1">
      <c r="A35" s="16" t="inlineStr">
        <is>
          <t>JP-034</t>
        </is>
      </c>
      <c r="B35" s="16" t="inlineStr">
        <is>
          <t>Tokio</t>
        </is>
      </c>
      <c r="C35" s="16" t="inlineStr">
        <is>
          <t>Kanto</t>
        </is>
      </c>
      <c r="D35" s="16" t="inlineStr">
        <is>
          <t>Tokio</t>
        </is>
      </c>
      <c r="E35" s="16" t="inlineStr">
        <is>
          <t>Minato</t>
        </is>
      </c>
      <c r="F35" s="16" t="inlineStr">
        <is>
          <t>Roppongi</t>
        </is>
      </c>
      <c r="G35" s="16" t="inlineStr">
        <is>
          <t>Roppongi–Azabudai</t>
        </is>
      </c>
      <c r="H35" s="16" t="inlineStr">
        <is>
          <t>Mori Art Museum + Tokyo City View</t>
        </is>
      </c>
      <c r="I35" s="16" t="inlineStr">
        <is>
          <t>森美術館・東京シティビュー</t>
        </is>
      </c>
      <c r="J35" s="16" t="inlineStr">
        <is>
          <t>Mori Art Museum + Tokyo City View</t>
        </is>
      </c>
      <c r="K35" s="16" t="inlineStr">
        <is>
          <t>🎨 Arte</t>
        </is>
      </c>
      <c r="L35" s="16" t="inlineStr">
        <is>
          <t>museo y mirador</t>
        </is>
      </c>
      <c r="M35" s="16" t="inlineStr">
        <is>
          <t>A</t>
        </is>
      </c>
      <c r="N35" s="16" t="inlineStr">
        <is>
          <t>Gran combinación de arte contemporáneo y skyline; depende de la exposición.</t>
        </is>
      </c>
      <c r="O35" s="16" t="inlineStr">
        <is>
          <t>Museo en altura con observatorio en Roppongi Hills.</t>
        </is>
      </c>
      <c r="P35" s="16" t="inlineStr">
        <is>
          <t>Permite convertir una sola reserva en arte y vista nocturna.</t>
        </is>
      </c>
      <c r="Q35" s="16" t="inlineStr">
        <is>
          <t>Museo en altura con observatorio en Roppongi Hills.</t>
        </is>
      </c>
      <c r="R35" s="16" t="inlineStr">
        <is>
          <t>2.5–4 h</t>
        </is>
      </c>
      <c r="S35" s="16" t="inlineStr">
        <is>
          <t>Atardecer</t>
        </is>
      </c>
      <c r="T35" s="16" t="inlineStr">
        <is>
          <t>Todo el año</t>
        </is>
      </c>
      <c r="U35" s="16" t="inlineStr">
        <is>
          <t>Alto</t>
        </is>
      </c>
      <c r="V35" s="16" t="inlineStr">
        <is>
          <t>Alto</t>
        </is>
      </c>
      <c r="W35" s="89" t="n">
        <v>2200</v>
      </c>
      <c r="X35" s="89" t="n">
        <v>3200</v>
      </c>
      <c r="Y35" s="89">
        <f>W35*'Configuración'!$B$4</f>
        <v/>
      </c>
      <c r="Z35" s="89">
        <f>X35*'Configuración'!$B$4</f>
        <v/>
      </c>
      <c r="AA35" s="16" t="inlineStr">
        <is>
          <t>Recomendable</t>
        </is>
      </c>
      <c r="AB35" s="16" t="inlineStr">
        <is>
          <t>1–2 semanas</t>
        </is>
      </c>
      <c r="AC35" s="16" t="inlineStr">
        <is>
          <t>Variable por exposición</t>
        </is>
      </c>
      <c r="AD35" s="16" t="inlineStr">
        <is>
          <t>Durante montaje</t>
        </is>
      </c>
      <c r="AE35" s="16" t="inlineStr">
        <is>
          <t>Roppongi</t>
        </is>
      </c>
      <c r="AF35" s="16" t="inlineStr">
        <is>
          <t>Buena en áreas principales; confirmar detalles con el recinto</t>
        </is>
      </c>
      <c r="AG35" s="90" t="n">
        <v>35.6604</v>
      </c>
      <c r="AH35" s="90" t="n">
        <v>139.7292</v>
      </c>
      <c r="AI35" s="16" t="inlineStr">
        <is>
          <t>https://www.mori.art.museum/en/</t>
        </is>
      </c>
      <c r="AJ35" s="16" t="inlineStr">
        <is>
          <t>Cambiante</t>
        </is>
      </c>
      <c r="AK35" s="16" t="inlineStr">
        <is>
          <t>ART + VIEW</t>
        </is>
      </c>
      <c r="AL35" s="16" t="inlineStr">
        <is>
          <t>pareja, arte, fotografía, noche</t>
        </is>
      </c>
      <c r="AM35" s="91" t="n">
        <v>5</v>
      </c>
      <c r="AN35" s="91" t="n">
        <v>4</v>
      </c>
      <c r="AO35" s="91" t="n">
        <v>4</v>
      </c>
      <c r="AP35" s="91" t="n">
        <v>4</v>
      </c>
      <c r="AQ35" s="16" t="inlineStr">
        <is>
          <t>Imagen ideal: permite convertir una sola reserva en arte y vista nocturna. con luz de atardecer, sin multitudes dominando el encuadre.</t>
        </is>
      </c>
      <c r="AR35" s="16" t="inlineStr">
        <is>
          <t>The National Art Center, Tokyo (~8 min a pie) | 21_21 DESIGN SIGHT (~11 min a pie) | teamLab Borderless (~14 min a pie)</t>
        </is>
      </c>
      <c r="AS35" s="16" t="inlineStr">
        <is>
          <t>Popular / turístico</t>
        </is>
      </c>
      <c r="AT35" s="16" t="str"/>
      <c r="AU35" s="16" t="inlineStr">
        <is>
          <t>https://www.google.com/maps/search/?api=1&amp;query=Mori%20Art%20Museum%20%2B%20Tokyo%20City%20View%2C%20Minato%2C%20Japan</t>
        </is>
      </c>
      <c r="AV35" s="16" t="inlineStr">
        <is>
          <t>2026-09-01</t>
        </is>
      </c>
      <c r="AW35" s="16" t="inlineStr">
        <is>
          <t>CALENDARIO / CONDICIÓN PENDIENTE</t>
        </is>
      </c>
      <c r="AX35" s="16" t="inlineStr">
        <is>
          <t>No hay cierre específico confirmado para la ventana, pero horarios o acceso pueden variar.</t>
        </is>
      </c>
      <c r="AY35" s="16" t="inlineStr">
        <is>
          <t>Reconfirmar en la web oficial al fijar fechas.</t>
        </is>
      </c>
    </row>
    <row r="36" ht="66" customHeight="1">
      <c r="A36" s="16" t="inlineStr">
        <is>
          <t>JP-035</t>
        </is>
      </c>
      <c r="B36" s="16" t="inlineStr">
        <is>
          <t>Tokio</t>
        </is>
      </c>
      <c r="C36" s="16" t="inlineStr">
        <is>
          <t>Kanto</t>
        </is>
      </c>
      <c r="D36" s="16" t="inlineStr">
        <is>
          <t>Tokio</t>
        </is>
      </c>
      <c r="E36" s="16" t="inlineStr">
        <is>
          <t>Minato</t>
        </is>
      </c>
      <c r="F36" s="16" t="inlineStr">
        <is>
          <t>Roppongi</t>
        </is>
      </c>
      <c r="G36" s="16" t="inlineStr">
        <is>
          <t>Roppongi–Azabudai</t>
        </is>
      </c>
      <c r="H36" s="16" t="inlineStr">
        <is>
          <t>The National Art Center, Tokyo</t>
        </is>
      </c>
      <c r="I36" s="16" t="inlineStr">
        <is>
          <t>国立新美術館</t>
        </is>
      </c>
      <c r="J36" s="16" t="inlineStr">
        <is>
          <t>The National Art Center, Tokyo</t>
        </is>
      </c>
      <c r="K36" s="16" t="inlineStr">
        <is>
          <t>🎨 Arte</t>
        </is>
      </c>
      <c r="L36" s="16" t="inlineStr">
        <is>
          <t>museo/arquitectura</t>
        </is>
      </c>
      <c r="M36" s="16" t="inlineStr">
        <is>
          <t>A</t>
        </is>
      </c>
      <c r="N36" s="16" t="inlineStr">
        <is>
          <t>Edificio extraordinario y exposiciones temporales de alto nivel; no tiene colección permanente.</t>
        </is>
      </c>
      <c r="O36" s="16" t="inlineStr">
        <is>
          <t>Museo de Kisho Kurokawa con gran fachada ondulante.</t>
        </is>
      </c>
      <c r="P36" s="16" t="inlineStr">
        <is>
          <t>La arquitectura y programación cambiante son el contenido.</t>
        </is>
      </c>
      <c r="Q36" s="16" t="inlineStr">
        <is>
          <t>Museo de Kisho Kurokawa con gran fachada ondulante.</t>
        </is>
      </c>
      <c r="R36" s="16" t="inlineStr">
        <is>
          <t>1.5–3 h</t>
        </is>
      </c>
      <c r="S36" s="16" t="inlineStr">
        <is>
          <t>Tarde</t>
        </is>
      </c>
      <c r="T36" s="16" t="inlineStr">
        <is>
          <t>Todo el año</t>
        </is>
      </c>
      <c r="U36" s="16" t="inlineStr">
        <is>
          <t>Medio</t>
        </is>
      </c>
      <c r="V36" s="16" t="inlineStr">
        <is>
          <t>Medio</t>
        </is>
      </c>
      <c r="W36" s="89" t="n">
        <v>0</v>
      </c>
      <c r="X36" s="89" t="n">
        <v>2500</v>
      </c>
      <c r="Y36" s="89">
        <f>W36*'Configuración'!$B$4</f>
        <v/>
      </c>
      <c r="Z36" s="89">
        <f>X36*'Configuración'!$B$4</f>
        <v/>
      </c>
      <c r="AA36" s="16" t="inlineStr">
        <is>
          <t>Recomendable</t>
        </is>
      </c>
      <c r="AB36" s="16" t="inlineStr">
        <is>
          <t>Según exposición</t>
        </is>
      </c>
      <c r="AC36" s="16" t="inlineStr">
        <is>
          <t>10:00–18:00 aprox.</t>
        </is>
      </c>
      <c r="AD36" s="16" t="inlineStr">
        <is>
          <t>Martes y montaje</t>
        </is>
      </c>
      <c r="AE36" s="16" t="inlineStr">
        <is>
          <t>Nogizaka / Roppongi</t>
        </is>
      </c>
      <c r="AF36" s="16" t="inlineStr">
        <is>
          <t>Buena en áreas principales; confirmar detalles con el recinto</t>
        </is>
      </c>
      <c r="AG36" s="90" t="n">
        <v>35.6653</v>
      </c>
      <c r="AH36" s="90" t="n">
        <v>139.7264</v>
      </c>
      <c r="AI36" s="16" t="inlineStr">
        <is>
          <t>https://www.nact.jp/english/</t>
        </is>
      </c>
      <c r="AJ36" s="16" t="inlineStr">
        <is>
          <t>Cambiante</t>
        </is>
      </c>
      <c r="AK36" s="16" t="inlineStr">
        <is>
          <t>ART / ARCHITECTURE</t>
        </is>
      </c>
      <c r="AL36" s="16" t="inlineStr">
        <is>
          <t>arte, arquitectura, lluvia</t>
        </is>
      </c>
      <c r="AM36" s="91" t="n">
        <v>5</v>
      </c>
      <c r="AN36" s="91" t="n">
        <v>4</v>
      </c>
      <c r="AO36" s="91" t="n">
        <v>4</v>
      </c>
      <c r="AP36" s="91" t="n">
        <v>2</v>
      </c>
      <c r="AQ36" s="16" t="inlineStr">
        <is>
          <t>Imagen ideal: la arquitectura y programación cambiante son el contenido. con luz de tarde, sin multitudes dominando el encuadre.</t>
        </is>
      </c>
      <c r="AR36" s="16" t="inlineStr">
        <is>
          <t>21_21 DESIGN SIGHT (~6 min a pie) | Mori Art Museum + Tokyo City View (~8 min a pie) | Nezu Museum (~13 min a pie)</t>
        </is>
      </c>
      <c r="AS36" s="16" t="inlineStr">
        <is>
          <t>Lugar conocido pero excelente</t>
        </is>
      </c>
      <c r="AT36" s="16" t="str"/>
      <c r="AU36" s="16" t="inlineStr">
        <is>
          <t>https://www.google.com/maps/search/?api=1&amp;query=The%20National%20Art%20Center%2C%20Tokyo%2C%20Minato%2C%20Japan</t>
        </is>
      </c>
      <c r="AV36" s="16" t="inlineStr">
        <is>
          <t>2026-09-01</t>
        </is>
      </c>
      <c r="AW36" s="16" t="inlineStr">
        <is>
          <t>CALENDARIO / CONDICIÓN PENDIENTE</t>
        </is>
      </c>
      <c r="AX36" s="16" t="inlineStr">
        <is>
          <t>No hay cierre específico confirmado para la ventana, pero horarios o acceso pueden variar.</t>
        </is>
      </c>
      <c r="AY36" s="16" t="inlineStr">
        <is>
          <t>Reconfirmar en la web oficial al fijar fechas.</t>
        </is>
      </c>
    </row>
    <row r="37" ht="66" customHeight="1">
      <c r="A37" s="16" t="inlineStr">
        <is>
          <t>JP-036</t>
        </is>
      </c>
      <c r="B37" s="16" t="inlineStr">
        <is>
          <t>Tokio</t>
        </is>
      </c>
      <c r="C37" s="16" t="inlineStr">
        <is>
          <t>Kanto</t>
        </is>
      </c>
      <c r="D37" s="16" t="inlineStr">
        <is>
          <t>Tokio</t>
        </is>
      </c>
      <c r="E37" s="16" t="inlineStr">
        <is>
          <t>Minato</t>
        </is>
      </c>
      <c r="F37" s="16" t="inlineStr">
        <is>
          <t>Akasaka</t>
        </is>
      </c>
      <c r="G37" s="16" t="inlineStr">
        <is>
          <t>Roppongi–Azabudai</t>
        </is>
      </c>
      <c r="H37" s="16" t="inlineStr">
        <is>
          <t>21_21 DESIGN SIGHT</t>
        </is>
      </c>
      <c r="I37" s="16" t="inlineStr">
        <is>
          <t>21_21 DESIGN SIGHT</t>
        </is>
      </c>
      <c r="J37" s="16" t="inlineStr">
        <is>
          <t>21_21 DESIGN SIGHT</t>
        </is>
      </c>
      <c r="K37" s="16" t="inlineStr">
        <is>
          <t>🎨 Arte</t>
        </is>
      </c>
      <c r="L37" s="16" t="inlineStr">
        <is>
          <t>galería de diseño</t>
        </is>
      </c>
      <c r="M37" s="16" t="inlineStr">
        <is>
          <t>A</t>
        </is>
      </c>
      <c r="N37" s="16" t="inlineStr">
        <is>
          <t>Pequeña pero conceptualmente fuerte; ideal para amantes de diseño.</t>
        </is>
      </c>
      <c r="O37" s="16" t="inlineStr">
        <is>
          <t>Espacio de Tadao Ando con exposiciones sobre diseño y vida cotidiana.</t>
        </is>
      </c>
      <c r="P37" s="16" t="inlineStr">
        <is>
          <t>No intenta ser un museo generalista: cada muestra plantea una idea.</t>
        </is>
      </c>
      <c r="Q37" s="16" t="inlineStr">
        <is>
          <t>Espacio de Tadao Ando con exposiciones sobre diseño y vida cotidiana.</t>
        </is>
      </c>
      <c r="R37" s="16" t="inlineStr">
        <is>
          <t>1–2 h</t>
        </is>
      </c>
      <c r="S37" s="16" t="inlineStr">
        <is>
          <t>Tarde</t>
        </is>
      </c>
      <c r="T37" s="16" t="inlineStr">
        <is>
          <t>Todo el año</t>
        </is>
      </c>
      <c r="U37" s="16" t="inlineStr">
        <is>
          <t>Bajo</t>
        </is>
      </c>
      <c r="V37" s="16" t="inlineStr">
        <is>
          <t>Bajo</t>
        </is>
      </c>
      <c r="W37" s="89" t="n">
        <v>1400</v>
      </c>
      <c r="X37" s="89" t="n">
        <v>1400</v>
      </c>
      <c r="Y37" s="89">
        <f>W37*'Configuración'!$B$4</f>
        <v/>
      </c>
      <c r="Z37" s="89">
        <f>X37*'Configuración'!$B$4</f>
        <v/>
      </c>
      <c r="AA37" s="16" t="inlineStr">
        <is>
          <t>No</t>
        </is>
      </c>
      <c r="AB37" s="16" t="inlineStr">
        <is>
          <t>—</t>
        </is>
      </c>
      <c r="AC37" s="16" t="inlineStr">
        <is>
          <t>10:00–19:00 aprox.</t>
        </is>
      </c>
      <c r="AD37" s="16" t="inlineStr">
        <is>
          <t>Martes y montaje</t>
        </is>
      </c>
      <c r="AE37" s="16" t="inlineStr">
        <is>
          <t>Nogizaka / Roppongi</t>
        </is>
      </c>
      <c r="AF37" s="16" t="inlineStr">
        <is>
          <t>Buena en áreas principales; confirmar detalles con el recinto</t>
        </is>
      </c>
      <c r="AG37" s="90" t="n">
        <v>35.6675</v>
      </c>
      <c r="AH37" s="90" t="n">
        <v>139.7302</v>
      </c>
      <c r="AI37" s="16" t="inlineStr">
        <is>
          <t>https://www.2121designsight.jp/en/</t>
        </is>
      </c>
      <c r="AJ37" s="16" t="inlineStr">
        <is>
          <t>Cambiante</t>
        </is>
      </c>
      <c r="AK37" s="16" t="inlineStr">
        <is>
          <t>HIDDEN GEM</t>
        </is>
      </c>
      <c r="AL37" s="16" t="inlineStr">
        <is>
          <t>diseño, arquitectura, arte</t>
        </is>
      </c>
      <c r="AM37" s="91" t="n">
        <v>4</v>
      </c>
      <c r="AN37" s="91" t="n">
        <v>5</v>
      </c>
      <c r="AO37" s="91" t="n">
        <v>5</v>
      </c>
      <c r="AP37" s="91" t="n">
        <v>1</v>
      </c>
      <c r="AQ37" s="16" t="inlineStr">
        <is>
          <t>Imagen ideal: no intenta ser un museo generalista: cada muestra plantea una idea. con luz de tarde, sin multitudes dominando el encuadre.</t>
        </is>
      </c>
      <c r="AR37" s="16" t="inlineStr">
        <is>
          <t>The National Art Center, Tokyo (~6 min a pie) | Mori Art Museum + Tokyo City View (~11 min a pie) | teamLab Borderless (~17 min a pie)</t>
        </is>
      </c>
      <c r="AS37" s="16" t="inlineStr">
        <is>
          <t>Hidden Gem real</t>
        </is>
      </c>
      <c r="AT37" s="16" t="str"/>
      <c r="AU37" s="16" t="inlineStr">
        <is>
          <t>https://www.google.com/maps/search/?api=1&amp;query=21_21%20DESIGN%20SIGHT%2C%20Minato%2C%20Japan</t>
        </is>
      </c>
      <c r="AV37" s="16" t="inlineStr">
        <is>
          <t>2026-09-01</t>
        </is>
      </c>
      <c r="AW37" s="16" t="inlineStr">
        <is>
          <t>CALENDARIO / CONDICIÓN PENDIENTE</t>
        </is>
      </c>
      <c r="AX37" s="16" t="inlineStr">
        <is>
          <t>No hay cierre específico confirmado para la ventana, pero horarios o acceso pueden variar.</t>
        </is>
      </c>
      <c r="AY37" s="16" t="inlineStr">
        <is>
          <t>Reconfirmar en la web oficial al fijar fechas.</t>
        </is>
      </c>
    </row>
    <row r="38" ht="66" customHeight="1">
      <c r="A38" s="16" t="inlineStr">
        <is>
          <t>JP-037</t>
        </is>
      </c>
      <c r="B38" s="16" t="inlineStr">
        <is>
          <t>Tokio</t>
        </is>
      </c>
      <c r="C38" s="16" t="inlineStr">
        <is>
          <t>Kanto</t>
        </is>
      </c>
      <c r="D38" s="16" t="inlineStr">
        <is>
          <t>Tokio</t>
        </is>
      </c>
      <c r="E38" s="16" t="inlineStr">
        <is>
          <t>Minato</t>
        </is>
      </c>
      <c r="F38" s="16" t="inlineStr">
        <is>
          <t>Shibakoen</t>
        </is>
      </c>
      <c r="G38" s="16" t="inlineStr">
        <is>
          <t>Tokyo Tower</t>
        </is>
      </c>
      <c r="H38" s="16" t="inlineStr">
        <is>
          <t>Zōjō-ji + Tokyo Tower view</t>
        </is>
      </c>
      <c r="I38" s="16" t="inlineStr">
        <is>
          <t>増上寺・東京タワー</t>
        </is>
      </c>
      <c r="J38" s="16" t="inlineStr">
        <is>
          <t>Zōjō-ji + Tokyo Tower view</t>
        </is>
      </c>
      <c r="K38" s="16" t="inlineStr">
        <is>
          <t>📷 Fotografía</t>
        </is>
      </c>
      <c r="L38" s="16" t="inlineStr">
        <is>
          <t>templo y paisaje urbano</t>
        </is>
      </c>
      <c r="M38" s="16" t="inlineStr">
        <is>
          <t>A</t>
        </is>
      </c>
      <c r="N38" s="16" t="inlineStr">
        <is>
          <t>Una de las composiciones visuales más claras entre Edo y Tokio moderno.</t>
        </is>
      </c>
      <c r="O38" s="16" t="inlineStr">
        <is>
          <t>Templo Tokugawa frente a la torre roja.</t>
        </is>
      </c>
      <c r="P38" s="16" t="inlineStr">
        <is>
          <t>La vista exterior suele ser más memorable que subir a la torre.</t>
        </is>
      </c>
      <c r="Q38" s="16" t="inlineStr">
        <is>
          <t>Templo Tokugawa frente a la torre roja.</t>
        </is>
      </c>
      <c r="R38" s="16" t="inlineStr">
        <is>
          <t>1–2 h</t>
        </is>
      </c>
      <c r="S38" s="16" t="inlineStr">
        <is>
          <t>Atardecer</t>
        </is>
      </c>
      <c r="T38" s="16" t="inlineStr">
        <is>
          <t>Todo el año</t>
        </is>
      </c>
      <c r="U38" s="16" t="inlineStr">
        <is>
          <t>Alto</t>
        </is>
      </c>
      <c r="V38" s="16" t="inlineStr">
        <is>
          <t>Alto</t>
        </is>
      </c>
      <c r="W38" s="89" t="n">
        <v>0</v>
      </c>
      <c r="X38" s="89" t="n">
        <v>3000</v>
      </c>
      <c r="Y38" s="89">
        <f>W38*'Configuración'!$B$4</f>
        <v/>
      </c>
      <c r="Z38" s="89">
        <f>X38*'Configuración'!$B$4</f>
        <v/>
      </c>
      <c r="AA38" s="16" t="inlineStr">
        <is>
          <t>No</t>
        </is>
      </c>
      <c r="AB38" s="16" t="inlineStr">
        <is>
          <t>—</t>
        </is>
      </c>
      <c r="AC38" s="16" t="inlineStr">
        <is>
          <t>Templo diurno; torre variable</t>
        </is>
      </c>
      <c r="AD38" s="16" t="inlineStr">
        <is>
          <t>Sin cierre ordinario</t>
        </is>
      </c>
      <c r="AE38" s="16" t="inlineStr">
        <is>
          <t>Onarimon / Daimon</t>
        </is>
      </c>
      <c r="AF38" s="16" t="inlineStr">
        <is>
          <t>Parcial; pueden existir escalones, grava o edificios sin elevador</t>
        </is>
      </c>
      <c r="AG38" s="90" t="n">
        <v>35.6575</v>
      </c>
      <c r="AH38" s="90" t="n">
        <v>139.7483</v>
      </c>
      <c r="AI38" s="16" t="inlineStr">
        <is>
          <t>https://www.zojoji.or.jp/en/</t>
        </is>
      </c>
      <c r="AJ38" s="16" t="inlineStr">
        <is>
          <t>Cambiante</t>
        </is>
      </c>
      <c r="AK38" s="16" t="inlineStr">
        <is>
          <t>PHOTO ICON</t>
        </is>
      </c>
      <c r="AL38" s="16" t="inlineStr">
        <is>
          <t>fotografía, historia, arquitectura</t>
        </is>
      </c>
      <c r="AM38" s="91" t="n">
        <v>5</v>
      </c>
      <c r="AN38" s="91" t="n">
        <v>4</v>
      </c>
      <c r="AO38" s="91" t="n">
        <v>5</v>
      </c>
      <c r="AP38" s="91" t="n">
        <v>4</v>
      </c>
      <c r="AQ38" s="16" t="inlineStr">
        <is>
          <t>Imagen ideal: la vista exterior suele ser más memorable que subir a la torre. con luz de atardecer, sin multitudes dominando el encuadre.</t>
        </is>
      </c>
      <c r="AR38" s="16" t="inlineStr">
        <is>
          <t>teamLab Borderless (~11 min a pie) | Hama-rikyu Gardens (~20 min a pie) | Mori Art Museum + Tokyo City View (~25 min a pie)</t>
        </is>
      </c>
      <c r="AS38" s="16" t="inlineStr">
        <is>
          <t>Alternativa menos saturada</t>
        </is>
      </c>
      <c r="AT38" s="16" t="inlineStr">
        <is>
          <t>Subir a Tokyo Tower</t>
        </is>
      </c>
      <c r="AU38" s="16" t="inlineStr">
        <is>
          <t>https://www.google.com/maps/search/?api=1&amp;query=Z%C5%8Dj%C5%8D-ji%20%2B%20Tokyo%20Tower%20view%2C%20Minato%2C%20Japan</t>
        </is>
      </c>
      <c r="AV38" s="16" t="inlineStr">
        <is>
          <t>2026-09-01</t>
        </is>
      </c>
      <c r="AW38" s="16" t="inlineStr">
        <is>
          <t>CALENDARIO / CONDICIÓN PENDIENTE</t>
        </is>
      </c>
      <c r="AX38" s="16" t="inlineStr">
        <is>
          <t>No hay cierre específico confirmado para la ventana, pero horarios o acceso pueden variar.</t>
        </is>
      </c>
      <c r="AY38" s="16" t="inlineStr">
        <is>
          <t>Reconfirmar en la web oficial al fijar fechas.</t>
        </is>
      </c>
    </row>
    <row r="39" ht="66" customHeight="1">
      <c r="A39" s="16" t="inlineStr">
        <is>
          <t>JP-038</t>
        </is>
      </c>
      <c r="B39" s="16" t="inlineStr">
        <is>
          <t>Tokio</t>
        </is>
      </c>
      <c r="C39" s="16" t="inlineStr">
        <is>
          <t>Kanto</t>
        </is>
      </c>
      <c r="D39" s="16" t="inlineStr">
        <is>
          <t>Tokio</t>
        </is>
      </c>
      <c r="E39" s="16" t="inlineStr">
        <is>
          <t>Koto</t>
        </is>
      </c>
      <c r="F39" s="16" t="inlineStr">
        <is>
          <t>Toyosu</t>
        </is>
      </c>
      <c r="G39" s="16" t="inlineStr">
        <is>
          <t>Toyosu–Odaiba</t>
        </is>
      </c>
      <c r="H39" s="16" t="inlineStr">
        <is>
          <t>teamLab Planets TOKYO</t>
        </is>
      </c>
      <c r="I39" s="16" t="inlineStr">
        <is>
          <t>チームラボプラネッツ</t>
        </is>
      </c>
      <c r="J39" s="16" t="inlineStr">
        <is>
          <t>teamLab Planets TOKYO</t>
        </is>
      </c>
      <c r="K39" s="16" t="inlineStr">
        <is>
          <t>🎨 Arte</t>
        </is>
      </c>
      <c r="L39" s="16" t="inlineStr">
        <is>
          <t>museo inmersivo</t>
        </is>
      </c>
      <c r="M39" s="16" t="inlineStr">
        <is>
          <t>A</t>
        </is>
      </c>
      <c r="N39" s="16" t="inlineStr">
        <is>
          <t>Muy físico y fotogénico, aunque más lineal y turístico que Borderless.</t>
        </is>
      </c>
      <c r="O39" s="16" t="inlineStr">
        <is>
          <t>Instalaciones inmersivas que se recorren descalzo, con agua y jardines.</t>
        </is>
      </c>
      <c r="P39" s="16" t="inlineStr">
        <is>
          <t>El cuerpo entra literalmente en el material de las obras.</t>
        </is>
      </c>
      <c r="Q39" s="16" t="inlineStr">
        <is>
          <t>Instalaciones inmersivas que se recorren descalzo, con agua y jardines.</t>
        </is>
      </c>
      <c r="R39" s="16" t="inlineStr">
        <is>
          <t>2–3 h</t>
        </is>
      </c>
      <c r="S39" s="16" t="inlineStr">
        <is>
          <t>Mañana</t>
        </is>
      </c>
      <c r="T39" s="16" t="inlineStr">
        <is>
          <t>Hasta fin de 2027 según sitio oficial</t>
        </is>
      </c>
      <c r="U39" s="16" t="inlineStr">
        <is>
          <t>Extremo</t>
        </is>
      </c>
      <c r="V39" s="16" t="inlineStr">
        <is>
          <t>Extremo</t>
        </is>
      </c>
      <c r="W39" s="89" t="n">
        <v>3600</v>
      </c>
      <c r="X39" s="89" t="n">
        <v>5000</v>
      </c>
      <c r="Y39" s="89">
        <f>W39*'Configuración'!$B$4</f>
        <v/>
      </c>
      <c r="Z39" s="89">
        <f>X39*'Configuración'!$B$4</f>
        <v/>
      </c>
      <c r="AA39" s="16" t="inlineStr">
        <is>
          <t>Sí</t>
        </is>
      </c>
      <c r="AB39" s="16" t="inlineStr">
        <is>
          <t>2–6 semanas</t>
        </is>
      </c>
      <c r="AC39" s="16" t="inlineStr">
        <is>
          <t>Variable; última entrada 1 h antes</t>
        </is>
      </c>
      <c r="AD39" s="16" t="inlineStr">
        <is>
          <t>Cierres puntuales</t>
        </is>
      </c>
      <c r="AE39" s="16" t="inlineStr">
        <is>
          <t>Shin-Toyosu</t>
        </is>
      </c>
      <c r="AF39" s="16" t="inlineStr">
        <is>
          <t>Buena en áreas principales; confirmar detalles con el recinto</t>
        </is>
      </c>
      <c r="AG39" s="90" t="n">
        <v>35.6491</v>
      </c>
      <c r="AH39" s="90" t="n">
        <v>139.7898</v>
      </c>
      <c r="AI39" s="16" t="inlineStr">
        <is>
          <t>https://www.teamlab.art/e/planets/</t>
        </is>
      </c>
      <c r="AJ39" s="16" t="inlineStr">
        <is>
          <t>Cambiante</t>
        </is>
      </c>
      <c r="AK39" s="16" t="inlineStr">
        <is>
          <t>ART / IMMERSIVE</t>
        </is>
      </c>
      <c r="AL39" s="16" t="inlineStr">
        <is>
          <t>pareja, fotografía, tecnología</t>
        </is>
      </c>
      <c r="AM39" s="91" t="n">
        <v>5</v>
      </c>
      <c r="AN39" s="91" t="n">
        <v>4</v>
      </c>
      <c r="AO39" s="91" t="n">
        <v>3</v>
      </c>
      <c r="AP39" s="91" t="n">
        <v>5</v>
      </c>
      <c r="AQ39" s="16" t="inlineStr">
        <is>
          <t>Imagen ideal: el cuerpo entra literalmente en el material de las obras. con luz de mañana, sin multitudes dominando el encuadre.</t>
        </is>
      </c>
      <c r="AR39" s="16" t="inlineStr">
        <is>
          <t>Toyosu Market (~8 min a pie) | SMALL WORLDS Miniature Museum (~15 min a pie) | Odaiba Seaside Park + Rainbow Bridge (~35 min en transporte)</t>
        </is>
      </c>
      <c r="AS39" s="16" t="inlineStr">
        <is>
          <t>Popular / turístico</t>
        </is>
      </c>
      <c r="AT39" s="16" t="str"/>
      <c r="AU39" s="16" t="inlineStr">
        <is>
          <t>https://www.google.com/maps/search/?api=1&amp;query=teamLab%20Planets%20TOKYO%2C%20Koto%2C%20Japan</t>
        </is>
      </c>
      <c r="AV39" s="16" t="inlineStr">
        <is>
          <t>2026-09-01</t>
        </is>
      </c>
      <c r="AW39" s="16" t="inlineStr">
        <is>
          <t>ABIERTO CONFIRMADO</t>
        </is>
      </c>
      <c r="AX39" s="16" t="inlineStr">
        <is>
          <t>Experiencia independiente en Toyosu; la web oficial anuncia operación hasta finales de 2027.</t>
        </is>
      </c>
      <c r="AY39" s="16" t="inlineStr">
        <is>
          <t>Comprar franja horaria cuando se definan fechas.</t>
        </is>
      </c>
    </row>
    <row r="40" ht="66" customHeight="1">
      <c r="A40" s="16" t="inlineStr">
        <is>
          <t>JP-039</t>
        </is>
      </c>
      <c r="B40" s="16" t="inlineStr">
        <is>
          <t>Tokio</t>
        </is>
      </c>
      <c r="C40" s="16" t="inlineStr">
        <is>
          <t>Kanto</t>
        </is>
      </c>
      <c r="D40" s="16" t="inlineStr">
        <is>
          <t>Tokio</t>
        </is>
      </c>
      <c r="E40" s="16" t="inlineStr">
        <is>
          <t>Koto</t>
        </is>
      </c>
      <c r="F40" s="16" t="inlineStr">
        <is>
          <t>Toyosu</t>
        </is>
      </c>
      <c r="G40" s="16" t="inlineStr">
        <is>
          <t>Toyosu–Odaiba</t>
        </is>
      </c>
      <c r="H40" s="16" t="inlineStr">
        <is>
          <t>Toyosu Market</t>
        </is>
      </c>
      <c r="I40" s="16" t="inlineStr">
        <is>
          <t>豊洲市場</t>
        </is>
      </c>
      <c r="J40" s="16" t="inlineStr">
        <is>
          <t>Toyosu Market</t>
        </is>
      </c>
      <c r="K40" s="16" t="inlineStr">
        <is>
          <t>🍜 Gastronomía</t>
        </is>
      </c>
      <c r="L40" s="16" t="inlineStr">
        <is>
          <t>mercado mayorista</t>
        </is>
      </c>
      <c r="M40" s="16" t="inlineStr">
        <is>
          <t>B</t>
        </is>
      </c>
      <c r="N40" s="16" t="inlineStr">
        <is>
          <t>Interesante por la operación real y restaurantes, pero menos atmosférico que Tsukiji.</t>
        </is>
      </c>
      <c r="O40" s="16" t="inlineStr">
        <is>
          <t>Mercado mayorista moderno con plataformas de observación y restaurantes.</t>
        </is>
      </c>
      <c r="P40" s="16" t="inlineStr">
        <is>
          <t>Permite ver logística de atún y cadena alimentaria sin convertirla en decorado.</t>
        </is>
      </c>
      <c r="Q40" s="16" t="inlineStr">
        <is>
          <t>Mercado mayorista moderno con plataformas de observación y restaurantes.</t>
        </is>
      </c>
      <c r="R40" s="16" t="inlineStr">
        <is>
          <t>2–3 h</t>
        </is>
      </c>
      <c r="S40" s="16" t="inlineStr">
        <is>
          <t>Mañana</t>
        </is>
      </c>
      <c r="T40" s="16" t="inlineStr">
        <is>
          <t>Días de mercado</t>
        </is>
      </c>
      <c r="U40" s="16" t="inlineStr">
        <is>
          <t>Medio</t>
        </is>
      </c>
      <c r="V40" s="16" t="inlineStr">
        <is>
          <t>Medio</t>
        </is>
      </c>
      <c r="W40" s="89" t="n">
        <v>0</v>
      </c>
      <c r="X40" s="89" t="n">
        <v>7000</v>
      </c>
      <c r="Y40" s="89">
        <f>W40*'Configuración'!$B$4</f>
        <v/>
      </c>
      <c r="Z40" s="89">
        <f>X40*'Configuración'!$B$4</f>
        <v/>
      </c>
      <c r="AA40" s="16" t="inlineStr">
        <is>
          <t>Recomendable</t>
        </is>
      </c>
      <c r="AB40" s="16" t="inlineStr">
        <is>
          <t>Para subasta, consultar reglas</t>
        </is>
      </c>
      <c r="AC40" s="16" t="inlineStr">
        <is>
          <t>Muy temprano–14:00 aprox.</t>
        </is>
      </c>
      <c r="AD40" s="16" t="inlineStr">
        <is>
          <t>Domingos/festivos y calendario mercado</t>
        </is>
      </c>
      <c r="AE40" s="16" t="inlineStr">
        <is>
          <t>Shijomae</t>
        </is>
      </c>
      <c r="AF40" s="16" t="inlineStr">
        <is>
          <t>Buena en áreas principales; confirmar detalles con el recinto</t>
        </is>
      </c>
      <c r="AG40" s="90" t="n">
        <v>35.6456</v>
      </c>
      <c r="AH40" s="90" t="n">
        <v>139.7857</v>
      </c>
      <c r="AI40" s="16" t="inlineStr">
        <is>
          <t>https://www.shijou.metro.tokyo.lg.jp/english/toyosu/</t>
        </is>
      </c>
      <c r="AJ40" s="16" t="inlineStr">
        <is>
          <t>Cambiante</t>
        </is>
      </c>
      <c r="AK40" s="16" t="inlineStr">
        <is>
          <t>FOOD</t>
        </is>
      </c>
      <c r="AL40" s="16" t="inlineStr">
        <is>
          <t>comida, mercado, fotografía</t>
        </is>
      </c>
      <c r="AM40" s="91" t="n">
        <v>3</v>
      </c>
      <c r="AN40" s="91" t="n">
        <v>4</v>
      </c>
      <c r="AO40" s="91" t="n">
        <v>4</v>
      </c>
      <c r="AP40" s="91" t="n">
        <v>2</v>
      </c>
      <c r="AQ40" s="16" t="inlineStr">
        <is>
          <t>Imagen ideal: permite ver logística de atún y cadena alimentaria sin convertirla en decorado. con luz de mañana, sin multitudes dominando el encuadre.</t>
        </is>
      </c>
      <c r="AR40" s="16" t="inlineStr">
        <is>
          <t>teamLab Planets TOKYO (~8 min a pie) | SMALL WORLDS Miniature Museum (~10 min a pie) | Odaiba Seaside Park + Rainbow Bridge (~28 min en transporte)</t>
        </is>
      </c>
      <c r="AS40" s="16" t="inlineStr">
        <is>
          <t>No aplica</t>
        </is>
      </c>
      <c r="AT40" s="16" t="str"/>
      <c r="AU40" s="16" t="inlineStr">
        <is>
          <t>https://www.google.com/maps/search/?api=1&amp;query=Toyosu%20Market%2C%20Koto%2C%20Japan</t>
        </is>
      </c>
      <c r="AV40" s="16" t="inlineStr">
        <is>
          <t>2026-09-01</t>
        </is>
      </c>
      <c r="AW40" s="16" t="inlineStr">
        <is>
          <t>CALENDARIO / CONDICIÓN PENDIENTE</t>
        </is>
      </c>
      <c r="AX40" s="16" t="inlineStr">
        <is>
          <t>No hay cierre específico confirmado para la ventana, pero horarios o acceso pueden variar.</t>
        </is>
      </c>
      <c r="AY40" s="16" t="inlineStr">
        <is>
          <t>Reconfirmar en la web oficial al fijar fechas.</t>
        </is>
      </c>
    </row>
    <row r="41" ht="66" customHeight="1">
      <c r="A41" s="16" t="inlineStr">
        <is>
          <t>JP-040</t>
        </is>
      </c>
      <c r="B41" s="16" t="inlineStr">
        <is>
          <t>Tokio</t>
        </is>
      </c>
      <c r="C41" s="16" t="inlineStr">
        <is>
          <t>Kanto</t>
        </is>
      </c>
      <c r="D41" s="16" t="inlineStr">
        <is>
          <t>Tokio</t>
        </is>
      </c>
      <c r="E41" s="16" t="inlineStr">
        <is>
          <t>Koto</t>
        </is>
      </c>
      <c r="F41" s="16" t="inlineStr">
        <is>
          <t>Odaiba</t>
        </is>
      </c>
      <c r="G41" s="16" t="inlineStr">
        <is>
          <t>Toyosu–Odaiba</t>
        </is>
      </c>
      <c r="H41" s="16" t="inlineStr">
        <is>
          <t>Miraikan</t>
        </is>
      </c>
      <c r="I41" s="16" t="inlineStr">
        <is>
          <t>日本科学未来館</t>
        </is>
      </c>
      <c r="J41" s="16" t="inlineStr">
        <is>
          <t>Miraikan</t>
        </is>
      </c>
      <c r="K41" s="16" t="inlineStr">
        <is>
          <t>🤖 Tecnología</t>
        </is>
      </c>
      <c r="L41" s="16" t="inlineStr">
        <is>
          <t>museo de ciencia</t>
        </is>
      </c>
      <c r="M41" s="16" t="inlineStr">
        <is>
          <t>A</t>
        </is>
      </c>
      <c r="N41" s="16" t="inlineStr">
        <is>
          <t>El mejor museo general de ciencia y futuro para conectar robótica, espacio y sociedad.</t>
        </is>
      </c>
      <c r="O41" s="16" t="inlineStr">
        <is>
          <t>Museo interactivo nacional de ciencia emergente e innovación.</t>
        </is>
      </c>
      <c r="P41" s="16" t="inlineStr">
        <is>
          <t>Combina demostraciones, investigación real y preguntas éticas.</t>
        </is>
      </c>
      <c r="Q41" s="16" t="inlineStr">
        <is>
          <t>Museo interactivo nacional de ciencia emergente e innovación.</t>
        </is>
      </c>
      <c r="R41" s="16" t="inlineStr">
        <is>
          <t>2.5–4 h</t>
        </is>
      </c>
      <c r="S41" s="16" t="inlineStr">
        <is>
          <t>Tarde</t>
        </is>
      </c>
      <c r="T41" s="16" t="inlineStr">
        <is>
          <t>Todo el año</t>
        </is>
      </c>
      <c r="U41" s="16" t="inlineStr">
        <is>
          <t>Medio</t>
        </is>
      </c>
      <c r="V41" s="16" t="inlineStr">
        <is>
          <t>Medio</t>
        </is>
      </c>
      <c r="W41" s="89" t="n">
        <v>630</v>
      </c>
      <c r="X41" s="89" t="n">
        <v>940</v>
      </c>
      <c r="Y41" s="89">
        <f>W41*'Configuración'!$B$4</f>
        <v/>
      </c>
      <c r="Z41" s="89">
        <f>X41*'Configuración'!$B$4</f>
        <v/>
      </c>
      <c r="AA41" s="16" t="inlineStr">
        <is>
          <t>No</t>
        </is>
      </c>
      <c r="AB41" s="16" t="inlineStr">
        <is>
          <t>—</t>
        </is>
      </c>
      <c r="AC41" s="16" t="inlineStr">
        <is>
          <t>10:00–17:00 aprox.</t>
        </is>
      </c>
      <c r="AD41" s="16" t="inlineStr">
        <is>
          <t>Martes; verificar</t>
        </is>
      </c>
      <c r="AE41" s="16" t="inlineStr">
        <is>
          <t>Tokyo International Cruise Terminal / Telecom Center</t>
        </is>
      </c>
      <c r="AF41" s="16" t="inlineStr">
        <is>
          <t>Buena en áreas principales; confirmar detalles con el recinto</t>
        </is>
      </c>
      <c r="AG41" s="90" t="n">
        <v>35.6193</v>
      </c>
      <c r="AH41" s="90" t="n">
        <v>139.7765</v>
      </c>
      <c r="AI41" s="16" t="inlineStr">
        <is>
          <t>https://www.miraikan.jst.go.jp/en/</t>
        </is>
      </c>
      <c r="AJ41" s="16" t="inlineStr">
        <is>
          <t>Cambiante</t>
        </is>
      </c>
      <c r="AK41" s="16" t="inlineStr">
        <is>
          <t>TECH</t>
        </is>
      </c>
      <c r="AL41" s="16" t="inlineStr">
        <is>
          <t>tecnología, ciencia, familia, lluvia</t>
        </is>
      </c>
      <c r="AM41" s="91" t="n">
        <v>4</v>
      </c>
      <c r="AN41" s="91" t="n">
        <v>5</v>
      </c>
      <c r="AO41" s="91" t="n">
        <v>5</v>
      </c>
      <c r="AP41" s="91" t="n">
        <v>2</v>
      </c>
      <c r="AQ41" s="16" t="inlineStr">
        <is>
          <t>Imagen ideal: combina demostraciones, investigación real y preguntas éticas. con luz de tarde, sin multitudes dominando el encuadre.</t>
        </is>
      </c>
      <c r="AR41" s="16" t="inlineStr">
        <is>
          <t>Unicorn Gundam at DiverCity (~9 min a pie) | Odaiba Seaside Park + Rainbow Bridge (~17 min a pie) | SMALL WORLDS Miniature Museum (~35 min en transporte)</t>
        </is>
      </c>
      <c r="AS41" s="16" t="inlineStr">
        <is>
          <t>Lugar conocido pero excelente</t>
        </is>
      </c>
      <c r="AT41" s="16" t="str"/>
      <c r="AU41" s="16" t="inlineStr">
        <is>
          <t>https://www.google.com/maps/search/?api=1&amp;query=Miraikan%2C%20Koto%2C%20Japan</t>
        </is>
      </c>
      <c r="AV41" s="16" t="inlineStr">
        <is>
          <t>2026-09-01</t>
        </is>
      </c>
      <c r="AW41" s="16" t="inlineStr">
        <is>
          <t>CALENDARIO / CONDICIÓN PENDIENTE</t>
        </is>
      </c>
      <c r="AX41" s="16" t="inlineStr">
        <is>
          <t>No hay cierre específico confirmado para la ventana, pero horarios o acceso pueden variar.</t>
        </is>
      </c>
      <c r="AY41" s="16" t="inlineStr">
        <is>
          <t>Reconfirmar en la web oficial al fijar fechas.</t>
        </is>
      </c>
    </row>
    <row r="42" ht="66" customHeight="1">
      <c r="A42" s="16" t="inlineStr">
        <is>
          <t>JP-041</t>
        </is>
      </c>
      <c r="B42" s="16" t="inlineStr">
        <is>
          <t>Tokio</t>
        </is>
      </c>
      <c r="C42" s="16" t="inlineStr">
        <is>
          <t>Kanto</t>
        </is>
      </c>
      <c r="D42" s="16" t="inlineStr">
        <is>
          <t>Tokio</t>
        </is>
      </c>
      <c r="E42" s="16" t="inlineStr">
        <is>
          <t>Koto</t>
        </is>
      </c>
      <c r="F42" s="16" t="inlineStr">
        <is>
          <t>Odaiba</t>
        </is>
      </c>
      <c r="G42" s="16" t="inlineStr">
        <is>
          <t>Toyosu–Odaiba</t>
        </is>
      </c>
      <c r="H42" s="16" t="inlineStr">
        <is>
          <t>Unicorn Gundam at DiverCity</t>
        </is>
      </c>
      <c r="I42" s="16" t="inlineStr">
        <is>
          <t>実物大ユニコーンガンダム立像</t>
        </is>
      </c>
      <c r="J42" s="16" t="inlineStr">
        <is>
          <t>Unicorn Gundam at DiverCity</t>
        </is>
      </c>
      <c r="K42" s="16" t="inlineStr">
        <is>
          <t>👾 Anime/manga</t>
        </is>
      </c>
      <c r="L42" s="16" t="inlineStr">
        <is>
          <t>monumento pop</t>
        </is>
      </c>
      <c r="M42" s="16" t="inlineStr">
        <is>
          <t>B</t>
        </is>
      </c>
      <c r="N42" s="16" t="inlineStr">
        <is>
          <t>Espectacular para fans y fotografía nocturna; breve para quien no conoce Gundam.</t>
        </is>
      </c>
      <c r="O42" s="16" t="inlineStr">
        <is>
          <t>Estatua a escala real con transformaciones programadas.</t>
        </is>
      </c>
      <c r="P42" s="16" t="inlineStr">
        <is>
          <t>Convierte un mecha ficticio en pieza urbana monumental.</t>
        </is>
      </c>
      <c r="Q42" s="16" t="inlineStr">
        <is>
          <t>Estatua a escala real con transformaciones programadas.</t>
        </is>
      </c>
      <c r="R42" s="16" t="inlineStr">
        <is>
          <t>30–60 min</t>
        </is>
      </c>
      <c r="S42" s="16" t="inlineStr">
        <is>
          <t>Noche</t>
        </is>
      </c>
      <c r="T42" s="16" t="inlineStr">
        <is>
          <t>Todo el año</t>
        </is>
      </c>
      <c r="U42" s="16" t="inlineStr">
        <is>
          <t>Alto</t>
        </is>
      </c>
      <c r="V42" s="16" t="inlineStr">
        <is>
          <t>Alto</t>
        </is>
      </c>
      <c r="W42" s="89" t="n">
        <v>0</v>
      </c>
      <c r="X42" s="89" t="n">
        <v>0</v>
      </c>
      <c r="Y42" s="89">
        <f>W42*'Configuración'!$B$4</f>
        <v/>
      </c>
      <c r="Z42" s="89">
        <f>X42*'Configuración'!$B$4</f>
        <v/>
      </c>
      <c r="AA42" s="16" t="inlineStr">
        <is>
          <t>No</t>
        </is>
      </c>
      <c r="AB42" s="16" t="inlineStr">
        <is>
          <t>—</t>
        </is>
      </c>
      <c r="AC42" s="16" t="inlineStr">
        <is>
          <t>Exterior 24 h; shows variables</t>
        </is>
      </c>
      <c r="AD42" s="16" t="inlineStr">
        <is>
          <t>Sin cierre ordinario</t>
        </is>
      </c>
      <c r="AE42" s="16" t="inlineStr">
        <is>
          <t>Tokyo Teleport</t>
        </is>
      </c>
      <c r="AF42" s="16" t="inlineStr">
        <is>
          <t>Buena en áreas principales; confirmar detalles con el recinto</t>
        </is>
      </c>
      <c r="AG42" s="90" t="n">
        <v>35.6252</v>
      </c>
      <c r="AH42" s="90" t="n">
        <v>139.7756</v>
      </c>
      <c r="AI42" s="16" t="inlineStr">
        <is>
          <t>https://www.unicorn-gundam-statue.jp/</t>
        </is>
      </c>
      <c r="AJ42" s="16" t="inlineStr">
        <is>
          <t>Cambiante</t>
        </is>
      </c>
      <c r="AK42" s="16" t="inlineStr">
        <is>
          <t>ANIME</t>
        </is>
      </c>
      <c r="AL42" s="16" t="inlineStr">
        <is>
          <t>anime, fotografía, noche</t>
        </is>
      </c>
      <c r="AM42" s="91" t="n">
        <v>5</v>
      </c>
      <c r="AN42" s="91" t="n">
        <v>4</v>
      </c>
      <c r="AO42" s="91" t="n">
        <v>4</v>
      </c>
      <c r="AP42" s="91" t="n">
        <v>4</v>
      </c>
      <c r="AQ42" s="16" t="inlineStr">
        <is>
          <t>Imagen ideal: convierte un mecha ficticio en pieza urbana monumental. con luz de noche, sin multitudes dominando el encuadre.</t>
        </is>
      </c>
      <c r="AR42" s="16" t="inlineStr">
        <is>
          <t>Odaiba Seaside Park + Rainbow Bridge (~8 min a pie) | Miraikan (~9 min a pie) | SMALL WORLDS Miniature Museum (~28 min en transporte)</t>
        </is>
      </c>
      <c r="AS42" s="16" t="inlineStr">
        <is>
          <t>Popular / turístico</t>
        </is>
      </c>
      <c r="AT42" s="16" t="str"/>
      <c r="AU42" s="16" t="inlineStr">
        <is>
          <t>https://www.google.com/maps/search/?api=1&amp;query=Unicorn%20Gundam%20at%20DiverCity%2C%20Koto%2C%20Japan</t>
        </is>
      </c>
      <c r="AV42" s="16" t="inlineStr">
        <is>
          <t>2026-09-01</t>
        </is>
      </c>
      <c r="AW42" s="16" t="inlineStr">
        <is>
          <t>CALENDARIO / CONDICIÓN PENDIENTE</t>
        </is>
      </c>
      <c r="AX42" s="16" t="inlineStr">
        <is>
          <t>No hay cierre específico confirmado para la ventana, pero horarios o acceso pueden variar.</t>
        </is>
      </c>
      <c r="AY42" s="16" t="inlineStr">
        <is>
          <t>Reconfirmar en la web oficial al fijar fechas.</t>
        </is>
      </c>
    </row>
    <row r="43" ht="66" customHeight="1">
      <c r="A43" s="16" t="inlineStr">
        <is>
          <t>JP-042</t>
        </is>
      </c>
      <c r="B43" s="16" t="inlineStr">
        <is>
          <t>Tokio</t>
        </is>
      </c>
      <c r="C43" s="16" t="inlineStr">
        <is>
          <t>Kanto</t>
        </is>
      </c>
      <c r="D43" s="16" t="inlineStr">
        <is>
          <t>Tokio</t>
        </is>
      </c>
      <c r="E43" s="16" t="inlineStr">
        <is>
          <t>Koto</t>
        </is>
      </c>
      <c r="F43" s="16" t="inlineStr">
        <is>
          <t>Odaiba</t>
        </is>
      </c>
      <c r="G43" s="16" t="inlineStr">
        <is>
          <t>Toyosu–Odaiba</t>
        </is>
      </c>
      <c r="H43" s="16" t="inlineStr">
        <is>
          <t>Odaiba Seaside Park + Rainbow Bridge</t>
        </is>
      </c>
      <c r="I43" s="16" t="inlineStr">
        <is>
          <t>お台場海浜公園・レインボーブリッジ</t>
        </is>
      </c>
      <c r="J43" s="16" t="inlineStr">
        <is>
          <t>Odaiba Seaside Park + Rainbow Bridge</t>
        </is>
      </c>
      <c r="K43" s="16" t="inlineStr">
        <is>
          <t>🌃 Nocturno</t>
        </is>
      </c>
      <c r="L43" s="16" t="inlineStr">
        <is>
          <t>paseo costero</t>
        </is>
      </c>
      <c r="M43" s="16" t="inlineStr">
        <is>
          <t>B</t>
        </is>
      </c>
      <c r="N43" s="16" t="inlineStr">
        <is>
          <t>Gran paseo gratuito para skyline, bahía y puesta de sol. Clasificación v2: recomendable si encaja; su valor depende más de interés, saturación o logística.</t>
        </is>
      </c>
      <c r="O43" s="16" t="inlineStr">
        <is>
          <t>Playa urbana, paseo marítimo y vistas del puente iluminado.</t>
        </is>
      </c>
      <c r="P43" s="16" t="inlineStr">
        <is>
          <t>Ofrece horizonte abierto, raro en el centro de Tokio.</t>
        </is>
      </c>
      <c r="Q43" s="16" t="inlineStr">
        <is>
          <t>Playa urbana, paseo marítimo y vistas del puente iluminado.</t>
        </is>
      </c>
      <c r="R43" s="16" t="inlineStr">
        <is>
          <t>1.5–3 h</t>
        </is>
      </c>
      <c r="S43" s="16" t="inlineStr">
        <is>
          <t>Atardecer</t>
        </is>
      </c>
      <c r="T43" s="16" t="inlineStr">
        <is>
          <t>Todo el año</t>
        </is>
      </c>
      <c r="U43" s="16" t="inlineStr">
        <is>
          <t>Medio</t>
        </is>
      </c>
      <c r="V43" s="16" t="inlineStr">
        <is>
          <t>Medio</t>
        </is>
      </c>
      <c r="W43" s="89" t="n">
        <v>0</v>
      </c>
      <c r="X43" s="89" t="n">
        <v>0</v>
      </c>
      <c r="Y43" s="89">
        <f>W43*'Configuración'!$B$4</f>
        <v/>
      </c>
      <c r="Z43" s="89">
        <f>X43*'Configuración'!$B$4</f>
        <v/>
      </c>
      <c r="AA43" s="16" t="inlineStr">
        <is>
          <t>No</t>
        </is>
      </c>
      <c r="AB43" s="16" t="inlineStr">
        <is>
          <t>—</t>
        </is>
      </c>
      <c r="AC43" s="16" t="inlineStr">
        <is>
          <t>Espacio público 24 h</t>
        </is>
      </c>
      <c r="AD43" s="16" t="inlineStr">
        <is>
          <t>Pasarela del puente tiene horario/cierres</t>
        </is>
      </c>
      <c r="AE43" s="16" t="inlineStr">
        <is>
          <t>Odaiba-kaihinkoen / Tokyo Teleport</t>
        </is>
      </c>
      <c r="AF43" s="16" t="inlineStr">
        <is>
          <t>Buena en áreas principales; confirmar detalles con el recinto</t>
        </is>
      </c>
      <c r="AG43" s="90" t="n">
        <v>35.63</v>
      </c>
      <c r="AH43" s="90" t="n">
        <v>139.775</v>
      </c>
      <c r="AI43" s="16" t="inlineStr">
        <is>
          <t>https://www.gotokyo.org/en/index.html</t>
        </is>
      </c>
      <c r="AJ43" s="16" t="inlineStr">
        <is>
          <t>Cambiante</t>
        </is>
      </c>
      <c r="AK43" s="16" t="inlineStr">
        <is>
          <t>NIGHT / VIEW</t>
        </is>
      </c>
      <c r="AL43" s="16" t="inlineStr">
        <is>
          <t>pareja, fotografía, noche, mar</t>
        </is>
      </c>
      <c r="AM43" s="91" t="n">
        <v>5</v>
      </c>
      <c r="AN43" s="91" t="n">
        <v>3</v>
      </c>
      <c r="AO43" s="91" t="n">
        <v>5</v>
      </c>
      <c r="AP43" s="91" t="n">
        <v>2</v>
      </c>
      <c r="AQ43" s="16" t="inlineStr">
        <is>
          <t>Imagen ideal: ofrece horizonte abierto, raro en el centro de tokio. con luz de atardecer, sin multitudes dominando el encuadre.</t>
        </is>
      </c>
      <c r="AR43" s="16" t="inlineStr">
        <is>
          <t>Unicorn Gundam at DiverCity (~8 min a pie) | Miraikan (~17 min a pie) | SMALL WORLDS Miniature Museum (~23 min a pie)</t>
        </is>
      </c>
      <c r="AS43" s="16" t="inlineStr">
        <is>
          <t>No aplica</t>
        </is>
      </c>
      <c r="AT43" s="16" t="str"/>
      <c r="AU43" s="16" t="inlineStr">
        <is>
          <t>https://www.google.com/maps/search/?api=1&amp;query=Odaiba%20Seaside%20Park%20%2B%20Rainbow%20Bridge%2C%20Koto%2C%20Japan</t>
        </is>
      </c>
      <c r="AV43" s="16" t="inlineStr">
        <is>
          <t>2026-09-01</t>
        </is>
      </c>
      <c r="AW43" s="16" t="inlineStr">
        <is>
          <t>CALENDARIO / CONDICIÓN PENDIENTE</t>
        </is>
      </c>
      <c r="AX43" s="16" t="inlineStr">
        <is>
          <t>No hay cierre específico confirmado para la ventana, pero horarios o acceso pueden variar.</t>
        </is>
      </c>
      <c r="AY43" s="16" t="inlineStr">
        <is>
          <t>Reconfirmar en la web oficial al fijar fechas.</t>
        </is>
      </c>
    </row>
    <row r="44" ht="66" customHeight="1">
      <c r="A44" s="16" t="inlineStr">
        <is>
          <t>JP-043</t>
        </is>
      </c>
      <c r="B44" s="16" t="inlineStr">
        <is>
          <t>Tokio</t>
        </is>
      </c>
      <c r="C44" s="16" t="inlineStr">
        <is>
          <t>Kanto</t>
        </is>
      </c>
      <c r="D44" s="16" t="inlineStr">
        <is>
          <t>Tokio</t>
        </is>
      </c>
      <c r="E44" s="16" t="inlineStr">
        <is>
          <t>Koto</t>
        </is>
      </c>
      <c r="F44" s="16" t="inlineStr">
        <is>
          <t>Ariake</t>
        </is>
      </c>
      <c r="G44" s="16" t="inlineStr">
        <is>
          <t>Toyosu–Odaiba</t>
        </is>
      </c>
      <c r="H44" s="16" t="inlineStr">
        <is>
          <t>SMALL WORLDS Miniature Museum</t>
        </is>
      </c>
      <c r="I44" s="16" t="inlineStr">
        <is>
          <t>スモールワールズ</t>
        </is>
      </c>
      <c r="J44" s="16" t="inlineStr">
        <is>
          <t>SMALL WORLDS Miniature Museum</t>
        </is>
      </c>
      <c r="K44" s="16" t="inlineStr">
        <is>
          <t>🧩 Extraño/peculiar/único</t>
        </is>
      </c>
      <c r="L44" s="16" t="inlineStr">
        <is>
          <t>museo de miniaturas</t>
        </is>
      </c>
      <c r="M44" s="16" t="inlineStr">
        <is>
          <t>A</t>
        </is>
      </c>
      <c r="N44" s="16" t="inlineStr">
        <is>
          <t>Muy visual, detallado y diferente de los grandes museos convencionales.</t>
        </is>
      </c>
      <c r="O44" s="16" t="inlineStr">
        <is>
          <t>Enormes dioramas móviles de ciudades, espacio y Evangelion.</t>
        </is>
      </c>
      <c r="P44" s="16" t="inlineStr">
        <is>
          <t>La escala diminuta crea fotografía macro y narrativa interactiva.</t>
        </is>
      </c>
      <c r="Q44" s="16" t="inlineStr">
        <is>
          <t>Enormes dioramas móviles de ciudades, espacio y Evangelion.</t>
        </is>
      </c>
      <c r="R44" s="16" t="inlineStr">
        <is>
          <t>2–3 h</t>
        </is>
      </c>
      <c r="S44" s="16" t="inlineStr">
        <is>
          <t>Tarde</t>
        </is>
      </c>
      <c r="T44" s="16" t="inlineStr">
        <is>
          <t>Todo el año</t>
        </is>
      </c>
      <c r="U44" s="16" t="inlineStr">
        <is>
          <t>Medio</t>
        </is>
      </c>
      <c r="V44" s="16" t="inlineStr">
        <is>
          <t>Bajo</t>
        </is>
      </c>
      <c r="W44" s="89" t="n">
        <v>3200</v>
      </c>
      <c r="X44" s="89" t="n">
        <v>3700</v>
      </c>
      <c r="Y44" s="89">
        <f>W44*'Configuración'!$B$4</f>
        <v/>
      </c>
      <c r="Z44" s="89">
        <f>X44*'Configuración'!$B$4</f>
        <v/>
      </c>
      <c r="AA44" s="16" t="inlineStr">
        <is>
          <t>Recomendable</t>
        </is>
      </c>
      <c r="AB44" s="16" t="inlineStr">
        <is>
          <t>Días</t>
        </is>
      </c>
      <c r="AC44" s="16" t="inlineStr">
        <is>
          <t>09:00–19:00 aprox.; verificar</t>
        </is>
      </c>
      <c r="AD44" s="16" t="inlineStr">
        <is>
          <t>Variable</t>
        </is>
      </c>
      <c r="AE44" s="16" t="inlineStr">
        <is>
          <t>Ariake-Tennis-no-mori</t>
        </is>
      </c>
      <c r="AF44" s="16" t="inlineStr">
        <is>
          <t>Buena en áreas principales; confirmar detalles con el recinto</t>
        </is>
      </c>
      <c r="AG44" s="90" t="n">
        <v>35.6396</v>
      </c>
      <c r="AH44" s="90" t="n">
        <v>139.7884</v>
      </c>
      <c r="AI44" s="16" t="inlineStr">
        <is>
          <t>https://smallworlds.jp/en/</t>
        </is>
      </c>
      <c r="AJ44" s="16" t="inlineStr">
        <is>
          <t>Cambiante</t>
        </is>
      </c>
      <c r="AK44" s="16" t="inlineStr">
        <is>
          <t>UNIQUE</t>
        </is>
      </c>
      <c r="AL44" s="16" t="inlineStr">
        <is>
          <t>anime, fotografía, miniaturas, familia</t>
        </is>
      </c>
      <c r="AM44" s="91" t="n">
        <v>5</v>
      </c>
      <c r="AN44" s="91" t="n">
        <v>5</v>
      </c>
      <c r="AO44" s="91" t="n">
        <v>4</v>
      </c>
      <c r="AP44" s="91" t="n">
        <v>2</v>
      </c>
      <c r="AQ44" s="16" t="inlineStr">
        <is>
          <t>Imagen ideal: la escala diminuta crea fotografía macro y narrativa interactiva. con luz de tarde, sin multitudes dominando el encuadre.</t>
        </is>
      </c>
      <c r="AR44" s="16" t="inlineStr">
        <is>
          <t>Toyosu Market (~10 min a pie) | teamLab Planets TOKYO (~15 min a pie) | Odaiba Seaside Park + Rainbow Bridge (~23 min a pie)</t>
        </is>
      </c>
      <c r="AS44" s="16" t="inlineStr">
        <is>
          <t>Semi-hidden</t>
        </is>
      </c>
      <c r="AT44" s="16" t="str"/>
      <c r="AU44" s="16" t="inlineStr">
        <is>
          <t>https://www.google.com/maps/search/?api=1&amp;query=SMALL%20WORLDS%20Miniature%20Museum%2C%20Koto%2C%20Japan</t>
        </is>
      </c>
      <c r="AV44" s="16" t="inlineStr">
        <is>
          <t>2026-09-01</t>
        </is>
      </c>
      <c r="AW44" s="16" t="inlineStr">
        <is>
          <t>CALENDARIO / CONDICIÓN PENDIENTE</t>
        </is>
      </c>
      <c r="AX44" s="16" t="inlineStr">
        <is>
          <t>No hay cierre específico confirmado para la ventana, pero horarios o acceso pueden variar.</t>
        </is>
      </c>
      <c r="AY44" s="16" t="inlineStr">
        <is>
          <t>Reconfirmar en la web oficial al fijar fechas.</t>
        </is>
      </c>
    </row>
    <row r="45" ht="66" customHeight="1">
      <c r="A45" s="16" t="inlineStr">
        <is>
          <t>JP-044</t>
        </is>
      </c>
      <c r="B45" s="16" t="inlineStr">
        <is>
          <t>Tokio</t>
        </is>
      </c>
      <c r="C45" s="16" t="inlineStr">
        <is>
          <t>Kanto</t>
        </is>
      </c>
      <c r="D45" s="16" t="inlineStr">
        <is>
          <t>Tokio</t>
        </is>
      </c>
      <c r="E45" s="16" t="inlineStr">
        <is>
          <t>Mitaka</t>
        </is>
      </c>
      <c r="F45" s="16" t="inlineStr">
        <is>
          <t>Shimorenjaku</t>
        </is>
      </c>
      <c r="G45" s="16" t="inlineStr">
        <is>
          <t>Kichijoji–Mitaka</t>
        </is>
      </c>
      <c r="H45" s="16" t="inlineStr">
        <is>
          <t>Ghibli Museum, Mitaka</t>
        </is>
      </c>
      <c r="I45" s="16" t="inlineStr">
        <is>
          <t>三鷹の森ジブリ美術館</t>
        </is>
      </c>
      <c r="J45" s="16" t="inlineStr">
        <is>
          <t>Ghibli Museum, Mitaka</t>
        </is>
      </c>
      <c r="K45" s="16" t="inlineStr">
        <is>
          <t>👾 Anime/manga</t>
        </is>
      </c>
      <c r="L45" s="16" t="inlineStr">
        <is>
          <t>museo</t>
        </is>
      </c>
      <c r="M45" s="16" t="inlineStr">
        <is>
          <t>S</t>
        </is>
      </c>
      <c r="N45" s="16" t="inlineStr">
        <is>
          <t>Experiencia autoral irrepetible para fans de Ghibli, con cortos exclusivos.</t>
        </is>
      </c>
      <c r="O45" s="16" t="inlineStr">
        <is>
          <t>Museo laberíntico diseñado por Hayao Miyazaki junto a Inokashira Park.</t>
        </is>
      </c>
      <c r="P45" s="16" t="inlineStr">
        <is>
          <t>No permite fotografiar interiores y prioriza descubrimiento sobre mercancía.</t>
        </is>
      </c>
      <c r="Q45" s="16" t="inlineStr">
        <is>
          <t>Museo laberíntico diseñado por Hayao Miyazaki junto a Inokashira Park.</t>
        </is>
      </c>
      <c r="R45" s="16" t="inlineStr">
        <is>
          <t>2–3 h</t>
        </is>
      </c>
      <c r="S45" s="16" t="inlineStr">
        <is>
          <t>Mañana</t>
        </is>
      </c>
      <c r="T45" s="16" t="inlineStr">
        <is>
          <t>Todo el año</t>
        </is>
      </c>
      <c r="U45" s="16" t="inlineStr">
        <is>
          <t>Alto</t>
        </is>
      </c>
      <c r="V45" s="16" t="inlineStr">
        <is>
          <t>Alto</t>
        </is>
      </c>
      <c r="W45" s="89" t="n">
        <v>1000</v>
      </c>
      <c r="X45" s="89" t="n">
        <v>1000</v>
      </c>
      <c r="Y45" s="89">
        <f>W45*'Configuración'!$B$4</f>
        <v/>
      </c>
      <c r="Z45" s="89">
        <f>X45*'Configuración'!$B$4</f>
        <v/>
      </c>
      <c r="AA45" s="16" t="inlineStr">
        <is>
          <t>Sí</t>
        </is>
      </c>
      <c r="AB45" s="16" t="inlineStr">
        <is>
          <t>Venta mensual; comprar al abrir</t>
        </is>
      </c>
      <c r="AC45" s="16" t="inlineStr">
        <is>
          <t>10:00–18:00</t>
        </is>
      </c>
      <c r="AD45" s="16" t="inlineStr">
        <is>
          <t>Martes y cierres de mantenimiento</t>
        </is>
      </c>
      <c r="AE45" s="16" t="inlineStr">
        <is>
          <t>JR Mitaka + 15 min a pie/bus</t>
        </is>
      </c>
      <c r="AF45" s="16" t="inlineStr">
        <is>
          <t>Buena en áreas principales; confirmar detalles con el recinto</t>
        </is>
      </c>
      <c r="AG45" s="90" t="n">
        <v>35.6962</v>
      </c>
      <c r="AH45" s="90" t="n">
        <v>139.5704</v>
      </c>
      <c r="AI45" s="16" t="inlineStr">
        <is>
          <t>https://www.ghibli-museum.jp/en/tickets/</t>
        </is>
      </c>
      <c r="AJ45" s="16" t="inlineStr">
        <is>
          <t>Cambiante</t>
        </is>
      </c>
      <c r="AK45" s="16" t="inlineStr">
        <is>
          <t>MUST SEE / ANIME</t>
        </is>
      </c>
      <c r="AL45" s="16" t="inlineStr">
        <is>
          <t>pareja, anime, arte, cine</t>
        </is>
      </c>
      <c r="AM45" s="91" t="n">
        <v>5</v>
      </c>
      <c r="AN45" s="91" t="n">
        <v>5</v>
      </c>
      <c r="AO45" s="91" t="n">
        <v>5</v>
      </c>
      <c r="AP45" s="91" t="n">
        <v>4</v>
      </c>
      <c r="AQ45" s="16" t="inlineStr">
        <is>
          <t>Imagen ideal: no permite fotografiar interiores y prioriza descubrimiento sobre mercancía. con luz de mañana, sin multitudes dominando el encuadre.</t>
        </is>
      </c>
      <c r="AR45" s="16" t="inlineStr">
        <is>
          <t>Kichijoji + Inokashira Park (~13 min a pie)</t>
        </is>
      </c>
      <c r="AS45" s="16" t="inlineStr">
        <is>
          <t>Popular / turístico</t>
        </is>
      </c>
      <c r="AT45" s="16" t="str"/>
      <c r="AU45" s="16" t="inlineStr">
        <is>
          <t>https://www.google.com/maps/search/?api=1&amp;query=Ghibli%20Museum%2C%20Mitaka%2C%20Mitaka%2C%20Japan</t>
        </is>
      </c>
      <c r="AV45" s="16" t="inlineStr">
        <is>
          <t>2026-09-01</t>
        </is>
      </c>
      <c r="AW45" s="16" t="inlineStr">
        <is>
          <t>CALENDARIO 2027 PENDIENTE</t>
        </is>
      </c>
      <c r="AX45" s="16" t="inlineStr">
        <is>
          <t>Reserva obligatoria y posibles cierres de mantenimiento; febrero–marzo de 2027 no está publicado.</t>
        </is>
      </c>
      <c r="AY45" s="16" t="inlineStr">
        <is>
          <t>Vigilar la venta mensual y comprar al abrir.</t>
        </is>
      </c>
    </row>
    <row r="46" ht="66" customHeight="1">
      <c r="A46" s="16" t="inlineStr">
        <is>
          <t>JP-045</t>
        </is>
      </c>
      <c r="B46" s="16" t="inlineStr">
        <is>
          <t>Tokio</t>
        </is>
      </c>
      <c r="C46" s="16" t="inlineStr">
        <is>
          <t>Kanto</t>
        </is>
      </c>
      <c r="D46" s="16" t="inlineStr">
        <is>
          <t>Tokio</t>
        </is>
      </c>
      <c r="E46" s="16" t="inlineStr">
        <is>
          <t>Musashino</t>
        </is>
      </c>
      <c r="F46" s="16" t="inlineStr">
        <is>
          <t>Kichijoji</t>
        </is>
      </c>
      <c r="G46" s="16" t="inlineStr">
        <is>
          <t>Kichijoji–Mitaka</t>
        </is>
      </c>
      <c r="H46" s="16" t="inlineStr">
        <is>
          <t>Kichijoji + Inokashira Park</t>
        </is>
      </c>
      <c r="I46" s="16" t="inlineStr">
        <is>
          <t>吉祥寺・井の頭恩賜公園</t>
        </is>
      </c>
      <c r="J46" s="16" t="inlineStr">
        <is>
          <t>Kichijoji + Inokashira Park</t>
        </is>
      </c>
      <c r="K46" s="16" t="inlineStr">
        <is>
          <t>🏙️ Ciudad y barrios</t>
        </is>
      </c>
      <c r="L46" s="16" t="inlineStr">
        <is>
          <t>barrio/parque</t>
        </is>
      </c>
      <c r="M46" s="16" t="inlineStr">
        <is>
          <t>A</t>
        </is>
      </c>
      <c r="N46" s="16" t="inlineStr">
        <is>
          <t>Uno de los barrios con mejor equilibrio entre vida local, comida, tiendas y naturaleza.</t>
        </is>
      </c>
      <c r="O46" s="16" t="inlineStr">
        <is>
          <t>Calles comerciales, Harmonica Yokocho y gran parque con lago.</t>
        </is>
      </c>
      <c r="P46" s="16" t="inlineStr">
        <is>
          <t>Funciona como destino completo, no solo apéndice del museo Ghibli.</t>
        </is>
      </c>
      <c r="Q46" s="16" t="inlineStr">
        <is>
          <t>Calles comerciales, Harmonica Yokocho y gran parque con lago.</t>
        </is>
      </c>
      <c r="R46" s="16" t="inlineStr">
        <is>
          <t>3–5 h</t>
        </is>
      </c>
      <c r="S46" s="16" t="inlineStr">
        <is>
          <t>Tarde</t>
        </is>
      </c>
      <c r="T46" s="16" t="inlineStr">
        <is>
          <t>Sakura y otoño</t>
        </is>
      </c>
      <c r="U46" s="16" t="inlineStr">
        <is>
          <t>Alto</t>
        </is>
      </c>
      <c r="V46" s="16" t="inlineStr">
        <is>
          <t>Medio</t>
        </is>
      </c>
      <c r="W46" s="89" t="n">
        <v>0</v>
      </c>
      <c r="X46" s="89" t="n">
        <v>0</v>
      </c>
      <c r="Y46" s="89">
        <f>W46*'Configuración'!$B$4</f>
        <v/>
      </c>
      <c r="Z46" s="89">
        <f>X46*'Configuración'!$B$4</f>
        <v/>
      </c>
      <c r="AA46" s="16" t="inlineStr">
        <is>
          <t>No</t>
        </is>
      </c>
      <c r="AB46" s="16" t="inlineStr">
        <is>
          <t>—</t>
        </is>
      </c>
      <c r="AC46" s="16" t="inlineStr">
        <is>
          <t>Espacio público; negocios variables</t>
        </is>
      </c>
      <c r="AD46" s="16" t="inlineStr">
        <is>
          <t>Sin cierre</t>
        </is>
      </c>
      <c r="AE46" s="16" t="inlineStr">
        <is>
          <t>JR/Keio Kichijoji</t>
        </is>
      </c>
      <c r="AF46" s="16" t="inlineStr">
        <is>
          <t>Buena en áreas principales; confirmar detalles con el recinto</t>
        </is>
      </c>
      <c r="AG46" s="90" t="n">
        <v>35.7003</v>
      </c>
      <c r="AH46" s="90" t="n">
        <v>139.5797</v>
      </c>
      <c r="AI46" s="16" t="inlineStr">
        <is>
          <t>https://www.gotokyo.org/en/index.html</t>
        </is>
      </c>
      <c r="AJ46" s="16" t="inlineStr">
        <is>
          <t>Cambiante</t>
        </is>
      </c>
      <c r="AK46" s="16" t="inlineStr">
        <is>
          <t>LOCAL FAVORITE</t>
        </is>
      </c>
      <c r="AL46" s="16" t="inlineStr">
        <is>
          <t>pareja, comida, barrios, naturaleza</t>
        </is>
      </c>
      <c r="AM46" s="91" t="n">
        <v>4</v>
      </c>
      <c r="AN46" s="91" t="n">
        <v>5</v>
      </c>
      <c r="AO46" s="91" t="n">
        <v>5</v>
      </c>
      <c r="AP46" s="91" t="n">
        <v>3</v>
      </c>
      <c r="AQ46" s="16" t="inlineStr">
        <is>
          <t>Imagen ideal: funciona como destino completo, no solo apéndice del museo ghibli. con luz de tarde, sin multitudes dominando el encuadre.</t>
        </is>
      </c>
      <c r="AR46" s="16" t="inlineStr">
        <is>
          <t>Ghibli Museum, Mitaka (~13 min a pie)</t>
        </is>
      </c>
      <c r="AS46" s="16" t="inlineStr">
        <is>
          <t>Semi-hidden</t>
        </is>
      </c>
      <c r="AT46" s="16" t="str"/>
      <c r="AU46" s="16" t="inlineStr">
        <is>
          <t>https://www.google.com/maps/search/?api=1&amp;query=Kichijoji%20%2B%20Inokashira%20Park%2C%20Musashino%2C%20Japan</t>
        </is>
      </c>
      <c r="AV46" s="16" t="inlineStr">
        <is>
          <t>2026-09-01</t>
        </is>
      </c>
      <c r="AW46" s="16" t="inlineStr">
        <is>
          <t>ABIERTO; FLORACIÓN NO GARANTIZADA</t>
        </is>
      </c>
      <c r="AX46" s="16" t="inlineStr">
        <is>
          <t>En Japón central la floración plena suele ser más tardía; finales de marzo es incierto.</t>
        </is>
      </c>
      <c r="AY46" s="16" t="inlineStr">
        <is>
          <t>No basar la visita en sakura hasta el pronóstico 2027.</t>
        </is>
      </c>
    </row>
    <row r="47" ht="66" customHeight="1">
      <c r="A47" s="16" t="inlineStr">
        <is>
          <t>JP-046</t>
        </is>
      </c>
      <c r="B47" s="16" t="inlineStr">
        <is>
          <t>Tokio</t>
        </is>
      </c>
      <c r="C47" s="16" t="inlineStr">
        <is>
          <t>Kanto</t>
        </is>
      </c>
      <c r="D47" s="16" t="inlineStr">
        <is>
          <t>Tokio</t>
        </is>
      </c>
      <c r="E47" s="16" t="inlineStr">
        <is>
          <t>Nakano</t>
        </is>
      </c>
      <c r="F47" s="16" t="inlineStr">
        <is>
          <t>Nakano</t>
        </is>
      </c>
      <c r="G47" s="16" t="inlineStr">
        <is>
          <t>Nakano</t>
        </is>
      </c>
      <c r="H47" s="16" t="inlineStr">
        <is>
          <t>Nakano Broadway</t>
        </is>
      </c>
      <c r="I47" s="16" t="inlineStr">
        <is>
          <t>中野ブロードウェイ</t>
        </is>
      </c>
      <c r="J47" s="16" t="inlineStr">
        <is>
          <t>Nakano Broadway</t>
        </is>
      </c>
      <c r="K47" s="16" t="inlineStr">
        <is>
          <t>👾 Anime/manga</t>
        </is>
      </c>
      <c r="L47" s="16" t="inlineStr">
        <is>
          <t>centro comercial especializado</t>
        </is>
      </c>
      <c r="M47" s="16" t="inlineStr">
        <is>
          <t>A</t>
        </is>
      </c>
      <c r="N47" s="16" t="inlineStr">
        <is>
          <t>Mejor para coleccionismo profundo y rarezas que muchos edificios de Akihabara.</t>
        </is>
      </c>
      <c r="O47" s="16" t="inlineStr">
        <is>
          <t>Galerías de Mandarake, relojes, arte, juguetes y cultura subterránea.</t>
        </is>
      </c>
      <c r="P47" s="16" t="inlineStr">
        <is>
          <t>Menos espectáculo exterior; más densidad de nichos y segunda mano.</t>
        </is>
      </c>
      <c r="Q47" s="16" t="inlineStr">
        <is>
          <t>Galerías de Mandarake, relojes, arte, juguetes y cultura subterránea.</t>
        </is>
      </c>
      <c r="R47" s="16" t="inlineStr">
        <is>
          <t>2–4 h</t>
        </is>
      </c>
      <c r="S47" s="16" t="inlineStr">
        <is>
          <t>Tarde</t>
        </is>
      </c>
      <c r="T47" s="16" t="inlineStr">
        <is>
          <t>Todo el año</t>
        </is>
      </c>
      <c r="U47" s="16" t="inlineStr">
        <is>
          <t>Alto</t>
        </is>
      </c>
      <c r="V47" s="16" t="inlineStr">
        <is>
          <t>Medio</t>
        </is>
      </c>
      <c r="W47" s="89" t="n">
        <v>0</v>
      </c>
      <c r="X47" s="89" t="n">
        <v>0</v>
      </c>
      <c r="Y47" s="89">
        <f>W47*'Configuración'!$B$4</f>
        <v/>
      </c>
      <c r="Z47" s="89">
        <f>X47*'Configuración'!$B$4</f>
        <v/>
      </c>
      <c r="AA47" s="16" t="inlineStr">
        <is>
          <t>No</t>
        </is>
      </c>
      <c r="AB47" s="16" t="inlineStr">
        <is>
          <t>—</t>
        </is>
      </c>
      <c r="AC47" s="16" t="inlineStr">
        <is>
          <t>Aprox. 12:00–20:00; tiendas varían</t>
        </is>
      </c>
      <c r="AD47" s="16" t="inlineStr">
        <is>
          <t>Según tienda</t>
        </is>
      </c>
      <c r="AE47" s="16" t="inlineStr">
        <is>
          <t>JR/Metro Nakano</t>
        </is>
      </c>
      <c r="AF47" s="16" t="inlineStr">
        <is>
          <t>Buena en áreas principales; confirmar detalles con el recinto</t>
        </is>
      </c>
      <c r="AG47" s="90" t="n">
        <v>35.7092</v>
      </c>
      <c r="AH47" s="90" t="n">
        <v>139.6657</v>
      </c>
      <c r="AI47" s="16" t="inlineStr">
        <is>
          <t>https://nakano-broadway.com/</t>
        </is>
      </c>
      <c r="AJ47" s="16" t="inlineStr">
        <is>
          <t>Cambiante</t>
        </is>
      </c>
      <c r="AK47" s="16" t="inlineStr">
        <is>
          <t>HIDDEN GEM / ANIME</t>
        </is>
      </c>
      <c r="AL47" s="16" t="inlineStr">
        <is>
          <t>anime, compras, coleccionismo</t>
        </is>
      </c>
      <c r="AM47" s="91" t="n">
        <v>3</v>
      </c>
      <c r="AN47" s="91" t="n">
        <v>5</v>
      </c>
      <c r="AO47" s="91" t="n">
        <v>5</v>
      </c>
      <c r="AP47" s="91" t="n">
        <v>3</v>
      </c>
      <c r="AQ47" s="16" t="inlineStr">
        <is>
          <t>Imagen ideal: menos espectáculo exterior; más densidad de nichos y segunda mano. con luz de tarde, sin multitudes dominando el encuadre.</t>
        </is>
      </c>
      <c r="AR47" s="16" t="str"/>
      <c r="AS47" s="16" t="inlineStr">
        <is>
          <t>Alternativa menos saturada</t>
        </is>
      </c>
      <c r="AT47" s="16" t="inlineStr">
        <is>
          <t>Akihabara</t>
        </is>
      </c>
      <c r="AU47" s="16" t="inlineStr">
        <is>
          <t>https://www.google.com/maps/search/?api=1&amp;query=Nakano%20Broadway%2C%20Nakano%2C%20Japan</t>
        </is>
      </c>
      <c r="AV47" s="16" t="inlineStr">
        <is>
          <t>2026-09-01</t>
        </is>
      </c>
      <c r="AW47" s="16" t="inlineStr">
        <is>
          <t>CALENDARIO / CONDICIÓN PENDIENTE</t>
        </is>
      </c>
      <c r="AX47" s="16" t="inlineStr">
        <is>
          <t>No hay cierre específico confirmado para la ventana, pero horarios o acceso pueden variar.</t>
        </is>
      </c>
      <c r="AY47" s="16" t="inlineStr">
        <is>
          <t>Reconfirmar en la web oficial al fijar fechas.</t>
        </is>
      </c>
    </row>
    <row r="48" ht="66" customHeight="1">
      <c r="A48" s="16" t="inlineStr">
        <is>
          <t>JP-047</t>
        </is>
      </c>
      <c r="B48" s="16" t="inlineStr">
        <is>
          <t>Tokio</t>
        </is>
      </c>
      <c r="C48" s="16" t="inlineStr">
        <is>
          <t>Kanto</t>
        </is>
      </c>
      <c r="D48" s="16" t="inlineStr">
        <is>
          <t>Tokio</t>
        </is>
      </c>
      <c r="E48" s="16" t="inlineStr">
        <is>
          <t>Koganei</t>
        </is>
      </c>
      <c r="F48" s="16" t="inlineStr">
        <is>
          <t>Sakuracho</t>
        </is>
      </c>
      <c r="G48" s="16" t="inlineStr">
        <is>
          <t>West Tokyo</t>
        </is>
      </c>
      <c r="H48" s="16" t="inlineStr">
        <is>
          <t>Edo-Tokyo Open Air Architectural Museum</t>
        </is>
      </c>
      <c r="I48" s="16" t="inlineStr">
        <is>
          <t>江戸東京たてもの園</t>
        </is>
      </c>
      <c r="J48" s="16" t="inlineStr">
        <is>
          <t>Edo-Tokyo Open Air Architectural Museum</t>
        </is>
      </c>
      <c r="K48" s="16" t="inlineStr">
        <is>
          <t>🏛️ Museos</t>
        </is>
      </c>
      <c r="L48" s="16" t="inlineStr">
        <is>
          <t>museo al aire libre</t>
        </is>
      </c>
      <c r="M48" s="16" t="inlineStr">
        <is>
          <t>A</t>
        </is>
      </c>
      <c r="N48" s="16" t="inlineStr">
        <is>
          <t>La mejor inmersión arquitectónica en el Tokio desaparecido. Clasificación v2: excelente y muy recomendable, pero no justifica por sí sola adaptar la ruta.</t>
        </is>
      </c>
      <c r="O48" s="16" t="inlineStr">
        <is>
          <t>Edificios históricos trasladados y restaurados dentro de un parque.</t>
        </is>
      </c>
      <c r="P48" s="16" t="inlineStr">
        <is>
          <t>Se camina dentro de casas, comercios y baños públicos reales de distintas eras.</t>
        </is>
      </c>
      <c r="Q48" s="16" t="inlineStr">
        <is>
          <t>Edificios históricos trasladados y restaurados dentro de un parque.</t>
        </is>
      </c>
      <c r="R48" s="16" t="inlineStr">
        <is>
          <t>3–5 h</t>
        </is>
      </c>
      <c r="S48" s="16" t="inlineStr">
        <is>
          <t>Mañana</t>
        </is>
      </c>
      <c r="T48" s="16" t="inlineStr">
        <is>
          <t>Primavera y otoño</t>
        </is>
      </c>
      <c r="U48" s="16" t="inlineStr">
        <is>
          <t>Bajo</t>
        </is>
      </c>
      <c r="V48" s="16" t="inlineStr">
        <is>
          <t>Bajo</t>
        </is>
      </c>
      <c r="W48" s="89" t="n">
        <v>400</v>
      </c>
      <c r="X48" s="89" t="n">
        <v>400</v>
      </c>
      <c r="Y48" s="89">
        <f>W48*'Configuración'!$B$4</f>
        <v/>
      </c>
      <c r="Z48" s="89">
        <f>X48*'Configuración'!$B$4</f>
        <v/>
      </c>
      <c r="AA48" s="16" t="inlineStr">
        <is>
          <t>No</t>
        </is>
      </c>
      <c r="AB48" s="16" t="inlineStr">
        <is>
          <t>—</t>
        </is>
      </c>
      <c r="AC48" s="16" t="inlineStr">
        <is>
          <t>09:30–17:30 según temporada</t>
        </is>
      </c>
      <c r="AD48" s="16" t="inlineStr">
        <is>
          <t>Lunes; verificar</t>
        </is>
      </c>
      <c r="AE48" s="16" t="inlineStr">
        <is>
          <t>Musashi-Koganei + bus</t>
        </is>
      </c>
      <c r="AF48" s="16" t="inlineStr">
        <is>
          <t>Buena en áreas principales; confirmar detalles con el recinto</t>
        </is>
      </c>
      <c r="AG48" s="90" t="n">
        <v>35.7154</v>
      </c>
      <c r="AH48" s="90" t="n">
        <v>139.5125</v>
      </c>
      <c r="AI48" s="16" t="inlineStr">
        <is>
          <t>https://www.tatemonoen.jp/english/</t>
        </is>
      </c>
      <c r="AJ48" s="16" t="inlineStr">
        <is>
          <t>Cambiante</t>
        </is>
      </c>
      <c r="AK48" s="16" t="inlineStr">
        <is>
          <t>HIDDEN GEM</t>
        </is>
      </c>
      <c r="AL48" s="16" t="inlineStr">
        <is>
          <t>arquitectura, historia, fotografía</t>
        </is>
      </c>
      <c r="AM48" s="91" t="n">
        <v>5</v>
      </c>
      <c r="AN48" s="91" t="n">
        <v>5</v>
      </c>
      <c r="AO48" s="91" t="n">
        <v>5</v>
      </c>
      <c r="AP48" s="91" t="n">
        <v>1</v>
      </c>
      <c r="AQ48" s="16" t="inlineStr">
        <is>
          <t>Imagen ideal: se camina dentro de casas, comercios y baños públicos reales de distintas eras. con luz de mañana, sin multitudes dominando el encuadre.</t>
        </is>
      </c>
      <c r="AR48" s="16" t="str"/>
      <c r="AS48" s="16" t="inlineStr">
        <is>
          <t>Hidden Gem real</t>
        </is>
      </c>
      <c r="AT48" s="16" t="str"/>
      <c r="AU48" s="16" t="inlineStr">
        <is>
          <t>https://www.google.com/maps/search/?api=1&amp;query=Edo-Tokyo%20Open%20Air%20Architectural%20Museum%2C%20Koganei%2C%20Japan</t>
        </is>
      </c>
      <c r="AV48" s="16" t="inlineStr">
        <is>
          <t>2026-09-01</t>
        </is>
      </c>
      <c r="AW48" s="16" t="inlineStr">
        <is>
          <t>CALENDARIO / CONDICIÓN PENDIENTE</t>
        </is>
      </c>
      <c r="AX48" s="16" t="inlineStr">
        <is>
          <t>No hay cierre específico confirmado para la ventana, pero horarios o acceso pueden variar.</t>
        </is>
      </c>
      <c r="AY48" s="16" t="inlineStr">
        <is>
          <t>Reconfirmar en la web oficial al fijar fechas.</t>
        </is>
      </c>
    </row>
    <row r="49" ht="66" customHeight="1">
      <c r="A49" s="16" t="inlineStr">
        <is>
          <t>JP-048</t>
        </is>
      </c>
      <c r="B49" s="16" t="inlineStr">
        <is>
          <t>Tokio</t>
        </is>
      </c>
      <c r="C49" s="16" t="inlineStr">
        <is>
          <t>Kanto</t>
        </is>
      </c>
      <c r="D49" s="16" t="inlineStr">
        <is>
          <t>Tokio</t>
        </is>
      </c>
      <c r="E49" s="16" t="inlineStr">
        <is>
          <t>Setagaya</t>
        </is>
      </c>
      <c r="F49" s="16" t="inlineStr">
        <is>
          <t>Shimokitazawa</t>
        </is>
      </c>
      <c r="G49" s="16" t="inlineStr">
        <is>
          <t>Shimokitazawa</t>
        </is>
      </c>
      <c r="H49" s="16" t="inlineStr">
        <is>
          <t>Shimokitazawa</t>
        </is>
      </c>
      <c r="I49" s="16" t="inlineStr">
        <is>
          <t>下北沢</t>
        </is>
      </c>
      <c r="J49" s="16" t="inlineStr">
        <is>
          <t>Shimokitazawa</t>
        </is>
      </c>
      <c r="K49" s="16" t="inlineStr">
        <is>
          <t>🏙️ Ciudad y barrios</t>
        </is>
      </c>
      <c r="L49" s="16" t="inlineStr">
        <is>
          <t>barrio</t>
        </is>
      </c>
      <c r="M49" s="16" t="inlineStr">
        <is>
          <t>A</t>
        </is>
      </c>
      <c r="N49" s="16" t="inlineStr">
        <is>
          <t>Cultura independiente, segunda mano y música sin la escala corporativa de Shibuya.</t>
        </is>
      </c>
      <c r="O49" s="16" t="inlineStr">
        <is>
          <t>Barrio de tiendas vintage, teatros, cafés y salas pequeñas.</t>
        </is>
      </c>
      <c r="P49" s="16" t="inlineStr">
        <is>
          <t>Su atractivo es explorar, no completar una lista de monumentos.</t>
        </is>
      </c>
      <c r="Q49" s="16" t="inlineStr">
        <is>
          <t>Barrio de tiendas vintage, teatros, cafés y salas pequeñas.</t>
        </is>
      </c>
      <c r="R49" s="16" t="inlineStr">
        <is>
          <t>2–4 h</t>
        </is>
      </c>
      <c r="S49" s="16" t="inlineStr">
        <is>
          <t>Tarde</t>
        </is>
      </c>
      <c r="T49" s="16" t="inlineStr">
        <is>
          <t>Todo el año</t>
        </is>
      </c>
      <c r="U49" s="16" t="inlineStr">
        <is>
          <t>Alto</t>
        </is>
      </c>
      <c r="V49" s="16" t="inlineStr">
        <is>
          <t>Medio</t>
        </is>
      </c>
      <c r="W49" s="89" t="n">
        <v>0</v>
      </c>
      <c r="X49" s="89" t="n">
        <v>0</v>
      </c>
      <c r="Y49" s="89">
        <f>W49*'Configuración'!$B$4</f>
        <v/>
      </c>
      <c r="Z49" s="89">
        <f>X49*'Configuración'!$B$4</f>
        <v/>
      </c>
      <c r="AA49" s="16" t="inlineStr">
        <is>
          <t>No</t>
        </is>
      </c>
      <c r="AB49" s="16" t="inlineStr">
        <is>
          <t>—</t>
        </is>
      </c>
      <c r="AC49" s="16" t="inlineStr">
        <is>
          <t>Negocios variables</t>
        </is>
      </c>
      <c r="AD49" s="16" t="inlineStr">
        <is>
          <t>Sin cierre</t>
        </is>
      </c>
      <c r="AE49" s="16" t="inlineStr">
        <is>
          <t>Odakyu/Keio Shimokitazawa</t>
        </is>
      </c>
      <c r="AF49" s="16" t="inlineStr">
        <is>
          <t>Buena en áreas principales; confirmar detalles con el recinto</t>
        </is>
      </c>
      <c r="AG49" s="90" t="n">
        <v>35.6616</v>
      </c>
      <c r="AH49" s="90" t="n">
        <v>139.6681</v>
      </c>
      <c r="AI49" s="16" t="inlineStr">
        <is>
          <t>https://www.gotokyo.org/en/index.html</t>
        </is>
      </c>
      <c r="AJ49" s="16" t="inlineStr">
        <is>
          <t>Cambiante</t>
        </is>
      </c>
      <c r="AK49" s="16" t="inlineStr">
        <is>
          <t>LOCAL</t>
        </is>
      </c>
      <c r="AL49" s="16" t="inlineStr">
        <is>
          <t>pareja, compras, música, cafés</t>
        </is>
      </c>
      <c r="AM49" s="91" t="n">
        <v>4</v>
      </c>
      <c r="AN49" s="91" t="n">
        <v>5</v>
      </c>
      <c r="AO49" s="91" t="n">
        <v>5</v>
      </c>
      <c r="AP49" s="91" t="n">
        <v>3</v>
      </c>
      <c r="AQ49" s="16" t="inlineStr">
        <is>
          <t>Imagen ideal: su atractivo es explorar, no completar una lista de monumentos. con luz de tarde, sin multitudes dominando el encuadre.</t>
        </is>
      </c>
      <c r="AR49" s="16" t="str"/>
      <c r="AS49" s="16" t="inlineStr">
        <is>
          <t>Semi-hidden</t>
        </is>
      </c>
      <c r="AT49" s="16" t="str"/>
      <c r="AU49" s="16" t="inlineStr">
        <is>
          <t>https://www.google.com/maps/search/?api=1&amp;query=Shimokitazawa%2C%20Setagaya%2C%20Japan</t>
        </is>
      </c>
      <c r="AV49" s="16" t="inlineStr">
        <is>
          <t>2026-09-01</t>
        </is>
      </c>
      <c r="AW49" s="16" t="inlineStr">
        <is>
          <t>CALENDARIO / CONDICIÓN PENDIENTE</t>
        </is>
      </c>
      <c r="AX49" s="16" t="inlineStr">
        <is>
          <t>No hay cierre específico confirmado para la ventana, pero horarios o acceso pueden variar.</t>
        </is>
      </c>
      <c r="AY49" s="16" t="inlineStr">
        <is>
          <t>Reconfirmar en la web oficial al fijar fechas.</t>
        </is>
      </c>
    </row>
    <row r="50" ht="66" customHeight="1">
      <c r="A50" s="16" t="inlineStr">
        <is>
          <t>JP-049</t>
        </is>
      </c>
      <c r="B50" s="16" t="inlineStr">
        <is>
          <t>Tokio</t>
        </is>
      </c>
      <c r="C50" s="16" t="inlineStr">
        <is>
          <t>Kanto</t>
        </is>
      </c>
      <c r="D50" s="16" t="inlineStr">
        <is>
          <t>Tokio</t>
        </is>
      </c>
      <c r="E50" s="16" t="inlineStr">
        <is>
          <t>Toshima</t>
        </is>
      </c>
      <c r="F50" s="16" t="inlineStr">
        <is>
          <t>Ikebukuro</t>
        </is>
      </c>
      <c r="G50" s="16" t="inlineStr">
        <is>
          <t>Ikebukuro</t>
        </is>
      </c>
      <c r="H50" s="16" t="inlineStr">
        <is>
          <t>Ikebukuro anime district</t>
        </is>
      </c>
      <c r="I50" s="16" t="inlineStr">
        <is>
          <t>池袋アニメ街</t>
        </is>
      </c>
      <c r="J50" s="16" t="inlineStr">
        <is>
          <t>Ikebukuro anime district</t>
        </is>
      </c>
      <c r="K50" s="16" t="inlineStr">
        <is>
          <t>👾 Anime/manga</t>
        </is>
      </c>
      <c r="L50" s="16" t="inlineStr">
        <is>
          <t>barrio/tiendas</t>
        </is>
      </c>
      <c r="M50" s="16" t="inlineStr">
        <is>
          <t>A</t>
        </is>
      </c>
      <c r="N50" s="16" t="inlineStr">
        <is>
          <t>Es la alternativa más completa a Akihabara para fandom femenino, Pokémon y gashapon.</t>
        </is>
      </c>
      <c r="O50" s="16" t="inlineStr">
        <is>
          <t>Animate flagship, Otome Road, Sunshine City y tiendas de personajes.</t>
        </is>
      </c>
      <c r="P50" s="16" t="inlineStr">
        <is>
          <t>Especialización distinta a Akihabara y grandes espacios interiores.</t>
        </is>
      </c>
      <c r="Q50" s="16" t="inlineStr">
        <is>
          <t>Animate flagship, Otome Road, Sunshine City y tiendas de personajes.</t>
        </is>
      </c>
      <c r="R50" s="16" t="inlineStr">
        <is>
          <t>3–5 h</t>
        </is>
      </c>
      <c r="S50" s="16" t="inlineStr">
        <is>
          <t>Tarde</t>
        </is>
      </c>
      <c r="T50" s="16" t="inlineStr">
        <is>
          <t>Todo el año</t>
        </is>
      </c>
      <c r="U50" s="16" t="inlineStr">
        <is>
          <t>Extremo</t>
        </is>
      </c>
      <c r="V50" s="16" t="inlineStr">
        <is>
          <t>Alto</t>
        </is>
      </c>
      <c r="W50" s="89" t="n">
        <v>0</v>
      </c>
      <c r="X50" s="89" t="n">
        <v>0</v>
      </c>
      <c r="Y50" s="89">
        <f>W50*'Configuración'!$B$4</f>
        <v/>
      </c>
      <c r="Z50" s="89">
        <f>X50*'Configuración'!$B$4</f>
        <v/>
      </c>
      <c r="AA50" s="16" t="inlineStr">
        <is>
          <t>No</t>
        </is>
      </c>
      <c r="AB50" s="16" t="inlineStr">
        <is>
          <t>—</t>
        </is>
      </c>
      <c r="AC50" s="16" t="inlineStr">
        <is>
          <t>Centros aprox. 10:00–20:00</t>
        </is>
      </c>
      <c r="AD50" s="16" t="inlineStr">
        <is>
          <t>Según comercio</t>
        </is>
      </c>
      <c r="AE50" s="16" t="inlineStr">
        <is>
          <t>JR/Metro Ikebukuro</t>
        </is>
      </c>
      <c r="AF50" s="16" t="inlineStr">
        <is>
          <t>Buena en áreas principales; confirmar detalles con el recinto</t>
        </is>
      </c>
      <c r="AG50" s="90" t="n">
        <v>35.7295</v>
      </c>
      <c r="AH50" s="90" t="n">
        <v>139.7199</v>
      </c>
      <c r="AI50" s="16" t="inlineStr">
        <is>
          <t>https://www.gotokyo.org/en/index.html</t>
        </is>
      </c>
      <c r="AJ50" s="16" t="inlineStr">
        <is>
          <t>Cambiante</t>
        </is>
      </c>
      <c r="AK50" s="16" t="inlineStr">
        <is>
          <t>ANIME</t>
        </is>
      </c>
      <c r="AL50" s="16" t="inlineStr">
        <is>
          <t>anime, compras, Pokémon, lluvia</t>
        </is>
      </c>
      <c r="AM50" s="91" t="n">
        <v>4</v>
      </c>
      <c r="AN50" s="91" t="n">
        <v>5</v>
      </c>
      <c r="AO50" s="91" t="n">
        <v>4</v>
      </c>
      <c r="AP50" s="91" t="n">
        <v>4</v>
      </c>
      <c r="AQ50" s="16" t="inlineStr">
        <is>
          <t>Imagen ideal: especialización distinta a akihabara y grandes espacios interiores. con luz de tarde, sin multitudes dominando el encuadre.</t>
        </is>
      </c>
      <c r="AR50" s="16" t="str"/>
      <c r="AS50" s="16" t="inlineStr">
        <is>
          <t>Alternativa menos saturada</t>
        </is>
      </c>
      <c r="AT50" s="16" t="inlineStr">
        <is>
          <t>Akihabara</t>
        </is>
      </c>
      <c r="AU50" s="16" t="inlineStr">
        <is>
          <t>https://www.google.com/maps/search/?api=1&amp;query=Ikebukuro%20anime%20district%2C%20Toshima%2C%20Japan</t>
        </is>
      </c>
      <c r="AV50" s="16" t="inlineStr">
        <is>
          <t>2026-09-01</t>
        </is>
      </c>
      <c r="AW50" s="16" t="inlineStr">
        <is>
          <t>CALENDARIO / CONDICIÓN PENDIENTE</t>
        </is>
      </c>
      <c r="AX50" s="16" t="inlineStr">
        <is>
          <t>No hay cierre específico confirmado para la ventana, pero horarios o acceso pueden variar.</t>
        </is>
      </c>
      <c r="AY50" s="16" t="inlineStr">
        <is>
          <t>Reconfirmar en la web oficial al fijar fechas.</t>
        </is>
      </c>
    </row>
    <row r="51" ht="66" customHeight="1">
      <c r="A51" s="16" t="inlineStr">
        <is>
          <t>JP-050</t>
        </is>
      </c>
      <c r="B51" s="16" t="inlineStr">
        <is>
          <t>Tokio</t>
        </is>
      </c>
      <c r="C51" s="16" t="inlineStr">
        <is>
          <t>Kanto</t>
        </is>
      </c>
      <c r="D51" s="16" t="inlineStr">
        <is>
          <t>Tokio</t>
        </is>
      </c>
      <c r="E51" s="16" t="inlineStr">
        <is>
          <t>Inagi</t>
        </is>
      </c>
      <c r="F51" s="16" t="inlineStr">
        <is>
          <t>Yanokuchi</t>
        </is>
      </c>
      <c r="G51" s="16" t="inlineStr">
        <is>
          <t>West Tokyo</t>
        </is>
      </c>
      <c r="H51" s="16" t="inlineStr">
        <is>
          <t>PokéPark KANTO</t>
        </is>
      </c>
      <c r="I51" s="16" t="inlineStr">
        <is>
          <t>ポケパーク カントー</t>
        </is>
      </c>
      <c r="J51" s="16" t="inlineStr">
        <is>
          <t>PokéPark KANTO</t>
        </is>
      </c>
      <c r="K51" s="16" t="inlineStr">
        <is>
          <t>🎢 Entretenimiento</t>
        </is>
      </c>
      <c r="L51" s="16" t="inlineStr">
        <is>
          <t>parque temático</t>
        </is>
      </c>
      <c r="M51" s="16" t="inlineStr">
        <is>
          <t>A</t>
        </is>
      </c>
      <c r="N51" s="16" t="inlineStr">
        <is>
          <t>Primera gran experiencia Pokémon permanente al aire libre; justifica el desplazamiento para fans. Clasificación v2: excelente y muy recomendable, pero no justifica por sí sola adaptar la ruta.</t>
        </is>
      </c>
      <c r="O51" s="16" t="inlineStr">
        <is>
          <t>Área temática dentro de Yomiuriland con Pokémon Forest y Sedge Town.</t>
        </is>
      </c>
      <c r="P51" s="16" t="inlineStr">
        <is>
          <t>Más de 600 representaciones a escala natural en un recorrido forestal.</t>
        </is>
      </c>
      <c r="Q51" s="16" t="inlineStr">
        <is>
          <t>Área temática dentro de Yomiuriland con Pokémon Forest y Sedge Town.</t>
        </is>
      </c>
      <c r="R51" s="16" t="inlineStr">
        <is>
          <t>Medio día–día completo</t>
        </is>
      </c>
      <c r="S51" s="16" t="inlineStr">
        <is>
          <t>Mañana</t>
        </is>
      </c>
      <c r="T51" s="16" t="inlineStr">
        <is>
          <t>Todo el año; evitar calor/lluvia</t>
        </is>
      </c>
      <c r="U51" s="16" t="inlineStr">
        <is>
          <t>Extremo</t>
        </is>
      </c>
      <c r="V51" s="16" t="inlineStr">
        <is>
          <t>Extremo</t>
        </is>
      </c>
      <c r="W51" s="89" t="n">
        <v>7900</v>
      </c>
      <c r="X51" s="89" t="n">
        <v>14000</v>
      </c>
      <c r="Y51" s="89">
        <f>W51*'Configuración'!$B$4</f>
        <v/>
      </c>
      <c r="Z51" s="89">
        <f>X51*'Configuración'!$B$4</f>
        <v/>
      </c>
      <c r="AA51" s="16" t="inlineStr">
        <is>
          <t>Sí</t>
        </is>
      </c>
      <c r="AB51" s="16" t="inlineStr">
        <is>
          <t>Lotería/venta controlada; meses</t>
        </is>
      </c>
      <c r="AC51" s="16" t="inlineStr">
        <is>
          <t>Calendario oficial variable</t>
        </is>
      </c>
      <c r="AD51" s="16" t="inlineStr">
        <is>
          <t>Fechas de cierre programadas</t>
        </is>
      </c>
      <c r="AE51" s="16" t="inlineStr">
        <is>
          <t>Keio Yomiuriland + transporte interno</t>
        </is>
      </c>
      <c r="AF51" s="16" t="inlineStr">
        <is>
          <t>Buena en áreas principales; confirmar detalles con el recinto</t>
        </is>
      </c>
      <c r="AG51" s="90" t="n">
        <v>35.6258</v>
      </c>
      <c r="AH51" s="90" t="n">
        <v>139.5176</v>
      </c>
      <c r="AI51" s="16" t="inlineStr">
        <is>
          <t>https://www.pokepark-kanto.co.jp/ppark/top/index?languageKind=en_US</t>
        </is>
      </c>
      <c r="AJ51" s="16" t="inlineStr">
        <is>
          <t>Cambiante</t>
        </is>
      </c>
      <c r="AK51" s="16" t="inlineStr">
        <is>
          <t>MUST SEE / POKÉMON</t>
        </is>
      </c>
      <c r="AL51" s="16" t="inlineStr">
        <is>
          <t>pareja, Pokémon, fotografía, entretenimiento</t>
        </is>
      </c>
      <c r="AM51" s="91" t="n">
        <v>5</v>
      </c>
      <c r="AN51" s="91" t="n">
        <v>5</v>
      </c>
      <c r="AO51" s="91" t="n">
        <v>3</v>
      </c>
      <c r="AP51" s="91" t="n">
        <v>5</v>
      </c>
      <c r="AQ51" s="16" t="inlineStr">
        <is>
          <t>Imagen ideal: más de 600 representaciones a escala natural en un recorrido forestal. con luz de mañana, sin multitudes dominando el encuadre.</t>
        </is>
      </c>
      <c r="AR51" s="16" t="str"/>
      <c r="AS51" s="16" t="inlineStr">
        <is>
          <t>Popular / turístico</t>
        </is>
      </c>
      <c r="AT51" s="16" t="str"/>
      <c r="AU51" s="16" t="inlineStr">
        <is>
          <t>https://www.google.com/maps/search/?api=1&amp;query=Pok%C3%A9Park%20KANTO%2C%20Inagi%2C%20Japan</t>
        </is>
      </c>
      <c r="AV51" s="16" t="inlineStr">
        <is>
          <t>2026-09-01</t>
        </is>
      </c>
      <c r="AW51" s="16" t="inlineStr">
        <is>
          <t>VENTA FUTURA / CUPO LIMITADO</t>
        </is>
      </c>
      <c r="AX51" s="16" t="inlineStr">
        <is>
          <t>Opera con entradas controladas, calendario y app.</t>
        </is>
      </c>
      <c r="AY51" s="16" t="inlineStr">
        <is>
          <t>Revisar lotería/venta cuando abra 2027.</t>
        </is>
      </c>
    </row>
    <row r="52" ht="66" customHeight="1">
      <c r="A52" s="16" t="inlineStr">
        <is>
          <t>JP-051</t>
        </is>
      </c>
      <c r="B52" s="16" t="inlineStr">
        <is>
          <t>Tokio</t>
        </is>
      </c>
      <c r="C52" s="16" t="inlineStr">
        <is>
          <t>Kanto</t>
        </is>
      </c>
      <c r="D52" s="16" t="inlineStr">
        <is>
          <t>Tokio</t>
        </is>
      </c>
      <c r="E52" s="16" t="inlineStr">
        <is>
          <t>Hachioji</t>
        </is>
      </c>
      <c r="F52" s="16" t="inlineStr">
        <is>
          <t>Takaomachi</t>
        </is>
      </c>
      <c r="G52" s="16" t="inlineStr">
        <is>
          <t>West Tokyo</t>
        </is>
      </c>
      <c r="H52" s="16" t="inlineStr">
        <is>
          <t>Mount Takao</t>
        </is>
      </c>
      <c r="I52" s="16" t="inlineStr">
        <is>
          <t>高尾山</t>
        </is>
      </c>
      <c r="J52" s="16" t="inlineStr">
        <is>
          <t>Mount Takao</t>
        </is>
      </c>
      <c r="K52" s="16" t="inlineStr">
        <is>
          <t>🥾 Senderismo/aventura</t>
        </is>
      </c>
      <c r="L52" s="16" t="inlineStr">
        <is>
          <t>montaña/sendero</t>
        </is>
      </c>
      <c r="M52" s="16" t="inlineStr">
        <is>
          <t>A</t>
        </is>
      </c>
      <c r="N52" s="16" t="inlineStr">
        <is>
          <t>Naturaleza muy accesible con opciones desde paseo fácil hasta ascenso completo.</t>
        </is>
      </c>
      <c r="O52" s="16" t="inlineStr">
        <is>
          <t>Montaña de 599 m con senderos, teleférico, templo y vistas de Fuji.</t>
        </is>
      </c>
      <c r="P52" s="16" t="inlineStr">
        <is>
          <t>Empieza casi directamente en una estación de tren metropolitano.</t>
        </is>
      </c>
      <c r="Q52" s="16" t="inlineStr">
        <is>
          <t>Montaña de 599 m con senderos, teleférico, templo y vistas de Fuji.</t>
        </is>
      </c>
      <c r="R52" s="16" t="inlineStr">
        <is>
          <t>Medio día–día completo</t>
        </is>
      </c>
      <c r="S52" s="16" t="inlineStr">
        <is>
          <t>Mañana</t>
        </is>
      </c>
      <c r="T52" s="16" t="inlineStr">
        <is>
          <t>Otoño e invierno despejado</t>
        </is>
      </c>
      <c r="U52" s="16" t="inlineStr">
        <is>
          <t>Alto</t>
        </is>
      </c>
      <c r="V52" s="16" t="inlineStr">
        <is>
          <t>Alto</t>
        </is>
      </c>
      <c r="W52" s="89" t="n">
        <v>0</v>
      </c>
      <c r="X52" s="89" t="n">
        <v>1200</v>
      </c>
      <c r="Y52" s="89">
        <f>W52*'Configuración'!$B$4</f>
        <v/>
      </c>
      <c r="Z52" s="89">
        <f>X52*'Configuración'!$B$4</f>
        <v/>
      </c>
      <c r="AA52" s="16" t="inlineStr">
        <is>
          <t>No</t>
        </is>
      </c>
      <c r="AB52" s="16" t="inlineStr">
        <is>
          <t>—</t>
        </is>
      </c>
      <c r="AC52" s="16" t="inlineStr">
        <is>
          <t>Senderos abiertos; transporte con horario</t>
        </is>
      </c>
      <c r="AD52" s="16" t="inlineStr">
        <is>
          <t>Clima/mantenimiento</t>
        </is>
      </c>
      <c r="AE52" s="16" t="inlineStr">
        <is>
          <t>Keio Takaosanguchi</t>
        </is>
      </c>
      <c r="AF52" s="16" t="inlineStr">
        <is>
          <t>Parcial o baja; terreno irregular y condiciones naturales</t>
        </is>
      </c>
      <c r="AG52" s="90" t="n">
        <v>35.6252</v>
      </c>
      <c r="AH52" s="90" t="n">
        <v>139.2437</v>
      </c>
      <c r="AI52" s="16" t="inlineStr">
        <is>
          <t>https://www.takaotozan.co.jp/english/</t>
        </is>
      </c>
      <c r="AJ52" s="16" t="inlineStr">
        <is>
          <t>Cambiante</t>
        </is>
      </c>
      <c r="AK52" s="16" t="inlineStr">
        <is>
          <t>NATURE</t>
        </is>
      </c>
      <c r="AL52" s="16" t="inlineStr">
        <is>
          <t>senderismo, naturaleza, fotografía</t>
        </is>
      </c>
      <c r="AM52" s="91" t="n">
        <v>5</v>
      </c>
      <c r="AN52" s="91" t="n">
        <v>4</v>
      </c>
      <c r="AO52" s="91" t="n">
        <v>5</v>
      </c>
      <c r="AP52" s="91" t="n">
        <v>4</v>
      </c>
      <c r="AQ52" s="16" t="inlineStr">
        <is>
          <t>Imagen ideal: empieza casi directamente en una estación de tren metropolitano. con luz de mañana, sin multitudes dominando el encuadre.</t>
        </is>
      </c>
      <c r="AR52" s="16" t="str"/>
      <c r="AS52" s="16" t="inlineStr">
        <is>
          <t>Popular / turístico</t>
        </is>
      </c>
      <c r="AT52" s="16" t="str"/>
      <c r="AU52" s="16" t="inlineStr">
        <is>
          <t>https://www.google.com/maps/search/?api=1&amp;query=Mount%20Takao%2C%20Hachioji%2C%20Japan</t>
        </is>
      </c>
      <c r="AV52" s="16" t="inlineStr">
        <is>
          <t>2026-09-01</t>
        </is>
      </c>
      <c r="AW52" s="16" t="inlineStr">
        <is>
          <t>RIESGO ESTACIONAL</t>
        </is>
      </c>
      <c r="AX52" s="16" t="inlineStr">
        <is>
          <t>Posibles nieve, hielo, barro, viento, cierres y menos horas de luz.</t>
        </is>
      </c>
      <c r="AY52" s="16" t="inlineStr">
        <is>
          <t>Revisar clima, sendero y último transporte 24–48 h antes.</t>
        </is>
      </c>
    </row>
    <row r="53" ht="66" customHeight="1">
      <c r="A53" s="16" t="inlineStr">
        <is>
          <t>JP-052</t>
        </is>
      </c>
      <c r="B53" s="16" t="inlineStr">
        <is>
          <t>Tokio</t>
        </is>
      </c>
      <c r="C53" s="16" t="inlineStr">
        <is>
          <t>Kanto</t>
        </is>
      </c>
      <c r="D53" s="16" t="inlineStr">
        <is>
          <t>Tokio</t>
        </is>
      </c>
      <c r="E53" s="16" t="inlineStr">
        <is>
          <t>Ome</t>
        </is>
      </c>
      <c r="F53" s="16" t="inlineStr">
        <is>
          <t>Mitake</t>
        </is>
      </c>
      <c r="G53" s="16" t="inlineStr">
        <is>
          <t>Okutama–Mitake</t>
        </is>
      </c>
      <c r="H53" s="16" t="inlineStr">
        <is>
          <t>Mount Mitake and Musashi Mitake Shrine</t>
        </is>
      </c>
      <c r="I53" s="16" t="inlineStr">
        <is>
          <t>御岳山・武蔵御嶽神社</t>
        </is>
      </c>
      <c r="J53" s="16" t="inlineStr">
        <is>
          <t>Mount Mitake and Musashi Mitake Shrine</t>
        </is>
      </c>
      <c r="K53" s="16" t="inlineStr">
        <is>
          <t>🥾 Senderismo/aventura</t>
        </is>
      </c>
      <c r="L53" s="16" t="inlineStr">
        <is>
          <t>montaña/santuario</t>
        </is>
      </c>
      <c r="M53" s="16" t="inlineStr">
        <is>
          <t>A</t>
        </is>
      </c>
      <c r="N53" s="16" t="inlineStr">
        <is>
          <t>Más espiritual, boscoso y menos internacional que Takao.</t>
        </is>
      </c>
      <c r="O53" s="16" t="inlineStr">
        <is>
          <t>Caminos de montaña, aldea en la cima y santuario antiguo.</t>
        </is>
      </c>
      <c r="P53" s="16" t="inlineStr">
        <is>
          <t>Combina senderismo, cascadas y hospedajes shukubo cerca de Tokio.</t>
        </is>
      </c>
      <c r="Q53" s="16" t="inlineStr">
        <is>
          <t>Caminos de montaña, aldea en la cima y santuario antiguo.</t>
        </is>
      </c>
      <c r="R53" s="16" t="inlineStr">
        <is>
          <t>Día completo</t>
        </is>
      </c>
      <c r="S53" s="16" t="inlineStr">
        <is>
          <t>Mañana</t>
        </is>
      </c>
      <c r="T53" s="16" t="inlineStr">
        <is>
          <t>Primavera y otoño</t>
        </is>
      </c>
      <c r="U53" s="16" t="inlineStr">
        <is>
          <t>Medio</t>
        </is>
      </c>
      <c r="V53" s="16" t="inlineStr">
        <is>
          <t>Bajo</t>
        </is>
      </c>
      <c r="W53" s="89" t="n">
        <v>0</v>
      </c>
      <c r="X53" s="89" t="n">
        <v>1200</v>
      </c>
      <c r="Y53" s="89">
        <f>W53*'Configuración'!$B$4</f>
        <v/>
      </c>
      <c r="Z53" s="89">
        <f>X53*'Configuración'!$B$4</f>
        <v/>
      </c>
      <c r="AA53" s="16" t="inlineStr">
        <is>
          <t>No</t>
        </is>
      </c>
      <c r="AB53" s="16" t="inlineStr">
        <is>
          <t>—</t>
        </is>
      </c>
      <c r="AC53" s="16" t="inlineStr">
        <is>
          <t>Senderos abiertos; cablecar variable</t>
        </is>
      </c>
      <c r="AD53" s="16" t="inlineStr">
        <is>
          <t>Clima/mantenimiento</t>
        </is>
      </c>
      <c r="AE53" s="16" t="inlineStr">
        <is>
          <t>JR Mitake + bus + cablecar</t>
        </is>
      </c>
      <c r="AF53" s="16" t="inlineStr">
        <is>
          <t>Parcial o baja; terreno irregular y condiciones naturales</t>
        </is>
      </c>
      <c r="AG53" s="90" t="n">
        <v>35.7827</v>
      </c>
      <c r="AH53" s="90" t="n">
        <v>139.1491</v>
      </c>
      <c r="AI53" s="16" t="inlineStr">
        <is>
          <t>https://www.gotokyo.org/en/index.html</t>
        </is>
      </c>
      <c r="AJ53" s="16" t="inlineStr">
        <is>
          <t>Cambiante</t>
        </is>
      </c>
      <c r="AK53" s="16" t="inlineStr">
        <is>
          <t>HIDDEN GEM / NATURE</t>
        </is>
      </c>
      <c r="AL53" s="16" t="inlineStr">
        <is>
          <t>senderismo, naturaleza, cultura</t>
        </is>
      </c>
      <c r="AM53" s="91" t="n">
        <v>5</v>
      </c>
      <c r="AN53" s="91" t="n">
        <v>5</v>
      </c>
      <c r="AO53" s="91" t="n">
        <v>4</v>
      </c>
      <c r="AP53" s="91" t="n">
        <v>2</v>
      </c>
      <c r="AQ53" s="16" t="inlineStr">
        <is>
          <t>Imagen ideal: combina senderismo, cascadas y hospedajes shukubo cerca de tokio. con luz de mañana, sin multitudes dominando el encuadre.</t>
        </is>
      </c>
      <c r="AR53" s="16" t="str"/>
      <c r="AS53" s="16" t="inlineStr">
        <is>
          <t>Semi-hidden</t>
        </is>
      </c>
      <c r="AT53" s="16" t="inlineStr">
        <is>
          <t>Mount Takao</t>
        </is>
      </c>
      <c r="AU53" s="16" t="inlineStr">
        <is>
          <t>https://www.google.com/maps/search/?api=1&amp;query=Mount%20Mitake%20and%20Musashi%20Mitake%20Shrine%2C%20Ome%2C%20Japan</t>
        </is>
      </c>
      <c r="AV53" s="16" t="inlineStr">
        <is>
          <t>2026-09-01</t>
        </is>
      </c>
      <c r="AW53" s="16" t="inlineStr">
        <is>
          <t>RIESGO ESTACIONAL</t>
        </is>
      </c>
      <c r="AX53" s="16" t="inlineStr">
        <is>
          <t>Posibles nieve, hielo, barro, viento, cierres y menos horas de luz.</t>
        </is>
      </c>
      <c r="AY53" s="16" t="inlineStr">
        <is>
          <t>Revisar clima, sendero y último transporte 24–48 h antes.</t>
        </is>
      </c>
    </row>
    <row r="54" ht="66" customHeight="1">
      <c r="A54" s="16" t="inlineStr">
        <is>
          <t>JP-053</t>
        </is>
      </c>
      <c r="B54" s="16" t="inlineStr">
        <is>
          <t>Tokio</t>
        </is>
      </c>
      <c r="C54" s="16" t="inlineStr">
        <is>
          <t>Kanto</t>
        </is>
      </c>
      <c r="D54" s="16" t="inlineStr">
        <is>
          <t>Tokio</t>
        </is>
      </c>
      <c r="E54" s="16" t="inlineStr">
        <is>
          <t>Ryogoku</t>
        </is>
      </c>
      <c r="F54" s="16" t="inlineStr">
        <is>
          <t>Ryogoku</t>
        </is>
      </c>
      <c r="G54" s="16" t="inlineStr">
        <is>
          <t>Ryogoku</t>
        </is>
      </c>
      <c r="H54" s="16" t="inlineStr">
        <is>
          <t>Edo-Tokyo Museum</t>
        </is>
      </c>
      <c r="I54" s="16" t="inlineStr">
        <is>
          <t>江戸東京博物館</t>
        </is>
      </c>
      <c r="J54" s="16" t="inlineStr">
        <is>
          <t>Edo-Tokyo Museum</t>
        </is>
      </c>
      <c r="K54" s="16" t="inlineStr">
        <is>
          <t>🏛️ Museos</t>
        </is>
      </c>
      <c r="L54" s="16" t="inlineStr">
        <is>
          <t>museo</t>
        </is>
      </c>
      <c r="M54" s="16" t="inlineStr">
        <is>
          <t>A</t>
        </is>
      </c>
      <c r="N54" s="16" t="inlineStr">
        <is>
          <t>Reabrió renovado en 2026 y vuelve a ser la mejor lectura de la historia urbana de Tokio. Clasificación v2: excelente y muy recomendable, pero no justifica por sí sola adaptar la ruta.</t>
        </is>
      </c>
      <c r="O54" s="16" t="inlineStr">
        <is>
          <t>Gran museo con reconstrucciones, maquetas y objetos de Edo y Tokio.</t>
        </is>
      </c>
      <c r="P54" s="16" t="inlineStr">
        <is>
          <t>Explica la ciudad como sistema social y material, no como colección de postales.</t>
        </is>
      </c>
      <c r="Q54" s="16" t="inlineStr">
        <is>
          <t>Gran museo con reconstrucciones, maquetas y objetos de Edo y Tokio.</t>
        </is>
      </c>
      <c r="R54" s="16" t="inlineStr">
        <is>
          <t>3–5 h</t>
        </is>
      </c>
      <c r="S54" s="16" t="inlineStr">
        <is>
          <t>Mañana</t>
        </is>
      </c>
      <c r="T54" s="16" t="inlineStr">
        <is>
          <t>Todo el año</t>
        </is>
      </c>
      <c r="U54" s="16" t="inlineStr">
        <is>
          <t>Alto</t>
        </is>
      </c>
      <c r="V54" s="16" t="inlineStr">
        <is>
          <t>Alto</t>
        </is>
      </c>
      <c r="W54" s="89" t="n">
        <v>800</v>
      </c>
      <c r="X54" s="89" t="n">
        <v>2740</v>
      </c>
      <c r="Y54" s="89">
        <f>W54*'Configuración'!$B$4</f>
        <v/>
      </c>
      <c r="Z54" s="89">
        <f>X54*'Configuración'!$B$4</f>
        <v/>
      </c>
      <c r="AA54" s="16" t="inlineStr">
        <is>
          <t>Recomendable</t>
        </is>
      </c>
      <c r="AB54" s="16" t="inlineStr">
        <is>
          <t>Días para fecha específica/exposición</t>
        </is>
      </c>
      <c r="AC54" s="16" t="inlineStr">
        <is>
          <t>09:30–17:30 aprox.</t>
        </is>
      </c>
      <c r="AD54" s="16" t="inlineStr">
        <is>
          <t>Lunes; verificar</t>
        </is>
      </c>
      <c r="AE54" s="16" t="inlineStr">
        <is>
          <t>JR/Toei Ryogoku</t>
        </is>
      </c>
      <c r="AF54" s="16" t="inlineStr">
        <is>
          <t>Buena en áreas principales; confirmar detalles con el recinto</t>
        </is>
      </c>
      <c r="AG54" s="90" t="n">
        <v>35.6966</v>
      </c>
      <c r="AH54" s="90" t="n">
        <v>139.7967</v>
      </c>
      <c r="AI54" s="16" t="inlineStr">
        <is>
          <t>https://www.edo-tokyo-museum.or.jp/en/</t>
        </is>
      </c>
      <c r="AJ54" s="16" t="inlineStr">
        <is>
          <t>Cambiante</t>
        </is>
      </c>
      <c r="AK54" s="16" t="inlineStr">
        <is>
          <t>REOPENED 2026</t>
        </is>
      </c>
      <c r="AL54" s="16" t="inlineStr">
        <is>
          <t>historia, arquitectura, lluvia</t>
        </is>
      </c>
      <c r="AM54" s="91" t="n">
        <v>5</v>
      </c>
      <c r="AN54" s="91" t="n">
        <v>5</v>
      </c>
      <c r="AO54" s="91" t="n">
        <v>5</v>
      </c>
      <c r="AP54" s="91" t="n">
        <v>4</v>
      </c>
      <c r="AQ54" s="16" t="inlineStr">
        <is>
          <t>Imagen ideal: explica la ciudad como sistema social y material, no como colección de postales. con luz de mañana, sin multitudes dominando el encuadre.</t>
        </is>
      </c>
      <c r="AR54" s="16" t="inlineStr">
        <is>
          <t>The Sumida Hokusai Museum (~5 min a pie) | Asakusa Culture Tourist Information Center (~22 min a pie) | Tokyo Skytree (~27 min en transporte)</t>
        </is>
      </c>
      <c r="AS54" s="16" t="inlineStr">
        <is>
          <t>Popular / turístico</t>
        </is>
      </c>
      <c r="AT54" s="16" t="str"/>
      <c r="AU54" s="16" t="inlineStr">
        <is>
          <t>https://www.google.com/maps/search/?api=1&amp;query=Edo-Tokyo%20Museum%2C%20Ryogoku%2C%20Japan</t>
        </is>
      </c>
      <c r="AV54" s="16" t="inlineStr">
        <is>
          <t>2026-09-01</t>
        </is>
      </c>
      <c r="AW54" s="16" t="inlineStr">
        <is>
          <t>CALENDARIO / CONDICIÓN PENDIENTE</t>
        </is>
      </c>
      <c r="AX54" s="16" t="inlineStr">
        <is>
          <t>No hay cierre específico confirmado para la ventana, pero horarios o acceso pueden variar.</t>
        </is>
      </c>
      <c r="AY54" s="16" t="inlineStr">
        <is>
          <t>Reconfirmar en la web oficial al fijar fechas.</t>
        </is>
      </c>
    </row>
    <row r="55" ht="66" customHeight="1">
      <c r="A55" s="16" t="inlineStr">
        <is>
          <t>JP-054</t>
        </is>
      </c>
      <c r="B55" s="16" t="inlineStr">
        <is>
          <t>Kioto</t>
        </is>
      </c>
      <c r="C55" s="16" t="inlineStr">
        <is>
          <t>Kansai</t>
        </is>
      </c>
      <c r="D55" s="16" t="inlineStr">
        <is>
          <t>Kioto</t>
        </is>
      </c>
      <c r="E55" s="16" t="inlineStr">
        <is>
          <t>Kyoto</t>
        </is>
      </c>
      <c r="F55" s="16" t="inlineStr">
        <is>
          <t>Higashiyama</t>
        </is>
      </c>
      <c r="G55" s="16" t="inlineStr">
        <is>
          <t>Kiyomizu–Gion</t>
        </is>
      </c>
      <c r="H55" s="16" t="inlineStr">
        <is>
          <t>Kiyomizu-dera</t>
        </is>
      </c>
      <c r="I55" s="16" t="inlineStr">
        <is>
          <t>清水寺</t>
        </is>
      </c>
      <c r="J55" s="16" t="inlineStr">
        <is>
          <t>Kiyomizu-dera</t>
        </is>
      </c>
      <c r="K55" s="16" t="inlineStr">
        <is>
          <t>⛩️ Templos y santuarios</t>
        </is>
      </c>
      <c r="L55" s="16" t="inlineStr">
        <is>
          <t>templo</t>
        </is>
      </c>
      <c r="M55" s="16" t="inlineStr">
        <is>
          <t>S</t>
        </is>
      </c>
      <c r="N55" s="16" t="inlineStr">
        <is>
          <t>La terraza, el relieve y la relación con Higashiyama justifican la saturación.</t>
        </is>
      </c>
      <c r="O55" s="16" t="inlineStr">
        <is>
          <t>Gran templo de madera sobre la ladera oriental.</t>
        </is>
      </c>
      <c r="P55" s="16" t="inlineStr">
        <is>
          <t>La ciudad se descubre desde una arquitectura integrada al bosque.</t>
        </is>
      </c>
      <c r="Q55" s="16" t="inlineStr">
        <is>
          <t>Gran templo de madera sobre la ladera oriental.</t>
        </is>
      </c>
      <c r="R55" s="16" t="inlineStr">
        <is>
          <t>1.5–2.5 h</t>
        </is>
      </c>
      <c r="S55" s="16" t="inlineStr">
        <is>
          <t>Mañana</t>
        </is>
      </c>
      <c r="T55" s="16" t="inlineStr">
        <is>
          <t>Sakura y otoño; bueno todo el año</t>
        </is>
      </c>
      <c r="U55" s="16" t="inlineStr">
        <is>
          <t>Extremo</t>
        </is>
      </c>
      <c r="V55" s="16" t="inlineStr">
        <is>
          <t>Extremo</t>
        </is>
      </c>
      <c r="W55" s="89" t="n">
        <v>500</v>
      </c>
      <c r="X55" s="89" t="n">
        <v>500</v>
      </c>
      <c r="Y55" s="89">
        <f>W55*'Configuración'!$B$4</f>
        <v/>
      </c>
      <c r="Z55" s="89">
        <f>X55*'Configuración'!$B$4</f>
        <v/>
      </c>
      <c r="AA55" s="16" t="inlineStr">
        <is>
          <t>No</t>
        </is>
      </c>
      <c r="AB55" s="16" t="inlineStr">
        <is>
          <t>—</t>
        </is>
      </c>
      <c r="AC55" s="16" t="inlineStr">
        <is>
          <t>Abre desde 06:00; cierre variable</t>
        </is>
      </c>
      <c r="AD55" s="16" t="inlineStr">
        <is>
          <t>Sin cierre ordinario</t>
        </is>
      </c>
      <c r="AE55" s="16" t="inlineStr">
        <is>
          <t>Bus + subida; Keihan Kiyomizu-Gojo</t>
        </is>
      </c>
      <c r="AF55" s="16" t="inlineStr">
        <is>
          <t>Parcial; pueden existir escalones, grava o edificios sin elevador</t>
        </is>
      </c>
      <c r="AG55" s="90" t="n">
        <v>34.9949</v>
      </c>
      <c r="AH55" s="90" t="n">
        <v>135.785</v>
      </c>
      <c r="AI55" s="16" t="inlineStr">
        <is>
          <t>https://www.kiyomizudera.or.jp/en/</t>
        </is>
      </c>
      <c r="AJ55" s="16" t="inlineStr">
        <is>
          <t>Cambiante</t>
        </is>
      </c>
      <c r="AK55" s="16" t="inlineStr">
        <is>
          <t>MUST SEE</t>
        </is>
      </c>
      <c r="AL55" s="16" t="inlineStr">
        <is>
          <t>pareja, historia, fotografía, cultura</t>
        </is>
      </c>
      <c r="AM55" s="91" t="n">
        <v>5</v>
      </c>
      <c r="AN55" s="91" t="n">
        <v>4</v>
      </c>
      <c r="AO55" s="91" t="n">
        <v>5</v>
      </c>
      <c r="AP55" s="91" t="n">
        <v>5</v>
      </c>
      <c r="AQ55" s="16" t="inlineStr">
        <is>
          <t>Imagen ideal: la ciudad se descubre desde una arquitectura integrada al bosque. con luz de mañana, sin multitudes dominando el encuadre.</t>
        </is>
      </c>
      <c r="AR55" s="16" t="inlineStr">
        <is>
          <t>Sannenzaka and Ninenzaka (~5 min a pie) | Yasaka Kōshin-dō (~9 min a pie) | Kōdai-ji (~10 min a pie)</t>
        </is>
      </c>
      <c r="AS55" s="16" t="inlineStr">
        <is>
          <t>Popular / turístico</t>
        </is>
      </c>
      <c r="AT55" s="16" t="str"/>
      <c r="AU55" s="16" t="inlineStr">
        <is>
          <t>https://www.google.com/maps/search/?api=1&amp;query=Kiyomizu-dera%2C%20Kyoto%2C%20Japan</t>
        </is>
      </c>
      <c r="AV55" s="16" t="inlineStr">
        <is>
          <t>2026-09-01</t>
        </is>
      </c>
      <c r="AW55" s="16" t="inlineStr">
        <is>
          <t>ABIERTO; FLORACIÓN NO GARANTIZADA</t>
        </is>
      </c>
      <c r="AX55" s="16" t="inlineStr">
        <is>
          <t>En Japón central la floración plena suele ser más tardía; finales de marzo es incierto.</t>
        </is>
      </c>
      <c r="AY55" s="16" t="inlineStr">
        <is>
          <t>No basar la visita en sakura hasta el pronóstico 2027.</t>
        </is>
      </c>
    </row>
    <row r="56" ht="66" customHeight="1">
      <c r="A56" s="16" t="inlineStr">
        <is>
          <t>JP-055</t>
        </is>
      </c>
      <c r="B56" s="16" t="inlineStr">
        <is>
          <t>Kioto</t>
        </is>
      </c>
      <c r="C56" s="16" t="inlineStr">
        <is>
          <t>Kansai</t>
        </is>
      </c>
      <c r="D56" s="16" t="inlineStr">
        <is>
          <t>Kioto</t>
        </is>
      </c>
      <c r="E56" s="16" t="inlineStr">
        <is>
          <t>Kyoto</t>
        </is>
      </c>
      <c r="F56" s="16" t="inlineStr">
        <is>
          <t>Higashiyama</t>
        </is>
      </c>
      <c r="G56" s="16" t="inlineStr">
        <is>
          <t>Kiyomizu–Gion</t>
        </is>
      </c>
      <c r="H56" s="16" t="inlineStr">
        <is>
          <t>Sannenzaka and Ninenzaka</t>
        </is>
      </c>
      <c r="I56" s="16" t="inlineStr">
        <is>
          <t>産寧坂・二寧坂</t>
        </is>
      </c>
      <c r="J56" s="16" t="inlineStr">
        <is>
          <t>Sannenzaka and Ninenzaka</t>
        </is>
      </c>
      <c r="K56" s="16" t="inlineStr">
        <is>
          <t>🏙️ Ciudad y barrios</t>
        </is>
      </c>
      <c r="L56" s="16" t="inlineStr">
        <is>
          <t>calles históricas</t>
        </is>
      </c>
      <c r="M56" s="16" t="inlineStr">
        <is>
          <t>B</t>
        </is>
      </c>
      <c r="N56" s="16" t="inlineStr">
        <is>
          <t>Bellísimas, pero la experiencia cae mucho en horas punta y parte del comercio es repetitivo.</t>
        </is>
      </c>
      <c r="O56" s="16" t="inlineStr">
        <is>
          <t>Pendientes de casas machiya entre Kiyomizu y Gion.</t>
        </is>
      </c>
      <c r="P56" s="16" t="inlineStr">
        <is>
          <t>El trazado y las cubiertas producen la postal urbana clásica de Kioto.</t>
        </is>
      </c>
      <c r="Q56" s="16" t="inlineStr">
        <is>
          <t>Pendientes de casas machiya entre Kiyomizu y Gion.</t>
        </is>
      </c>
      <c r="R56" s="16" t="inlineStr">
        <is>
          <t>1–2 h</t>
        </is>
      </c>
      <c r="S56" s="16" t="inlineStr">
        <is>
          <t>Mañana</t>
        </is>
      </c>
      <c r="T56" s="16" t="inlineStr">
        <is>
          <t>Todo el año</t>
        </is>
      </c>
      <c r="U56" s="16" t="inlineStr">
        <is>
          <t>Extremo</t>
        </is>
      </c>
      <c r="V56" s="16" t="inlineStr">
        <is>
          <t>Extremo</t>
        </is>
      </c>
      <c r="W56" s="89" t="n">
        <v>0</v>
      </c>
      <c r="X56" s="89" t="n">
        <v>0</v>
      </c>
      <c r="Y56" s="89">
        <f>W56*'Configuración'!$B$4</f>
        <v/>
      </c>
      <c r="Z56" s="89">
        <f>X56*'Configuración'!$B$4</f>
        <v/>
      </c>
      <c r="AA56" s="16" t="inlineStr">
        <is>
          <t>No</t>
        </is>
      </c>
      <c r="AB56" s="16" t="inlineStr">
        <is>
          <t>—</t>
        </is>
      </c>
      <c r="AC56" s="16" t="inlineStr">
        <is>
          <t>Espacio público; comercios variables</t>
        </is>
      </c>
      <c r="AD56" s="16" t="inlineStr">
        <is>
          <t>Sin cierre</t>
        </is>
      </c>
      <c r="AE56" s="16" t="inlineStr">
        <is>
          <t>Kiyomizu-michi / Gojozaka</t>
        </is>
      </c>
      <c r="AF56" s="16" t="inlineStr">
        <is>
          <t>Buena en áreas principales; confirmar detalles con el recinto</t>
        </is>
      </c>
      <c r="AG56" s="90" t="n">
        <v>34.9976</v>
      </c>
      <c r="AH56" s="90" t="n">
        <v>135.7829</v>
      </c>
      <c r="AI56" s="16" t="inlineStr">
        <is>
          <t>https://kyoto.travel/en/</t>
        </is>
      </c>
      <c r="AJ56" s="16" t="inlineStr">
        <is>
          <t>Cambiante</t>
        </is>
      </c>
      <c r="AK56" s="16" t="inlineStr">
        <is>
          <t>ICON / TOURISTY</t>
        </is>
      </c>
      <c r="AL56" s="16" t="inlineStr">
        <is>
          <t>fotografía, compras, arquitectura</t>
        </is>
      </c>
      <c r="AM56" s="91" t="n">
        <v>5</v>
      </c>
      <c r="AN56" s="91" t="n">
        <v>3</v>
      </c>
      <c r="AO56" s="91" t="n">
        <v>3</v>
      </c>
      <c r="AP56" s="91" t="n">
        <v>5</v>
      </c>
      <c r="AQ56" s="16" t="inlineStr">
        <is>
          <t>Imagen ideal: el trazado y las cubiertas producen la postal urbana clásica de kioto. con luz de mañana, sin multitudes dominando el encuadre.</t>
        </is>
      </c>
      <c r="AR56" s="16" t="inlineStr">
        <is>
          <t>Yasaka Kōshin-dō (~4 min a pie) | Kiyomizu-dera (~5 min a pie) | Kōdai-ji (~5 min a pie)</t>
        </is>
      </c>
      <c r="AS56" s="16" t="inlineStr">
        <is>
          <t>Popular / turístico</t>
        </is>
      </c>
      <c r="AT56" s="16" t="str"/>
      <c r="AU56" s="16" t="inlineStr">
        <is>
          <t>https://www.google.com/maps/search/?api=1&amp;query=Sannenzaka%20and%20Ninenzaka%2C%20Kyoto%2C%20Japan</t>
        </is>
      </c>
      <c r="AV56" s="16" t="inlineStr">
        <is>
          <t>2026-09-01</t>
        </is>
      </c>
      <c r="AW56" s="16" t="inlineStr">
        <is>
          <t>CALENDARIO / CONDICIÓN PENDIENTE</t>
        </is>
      </c>
      <c r="AX56" s="16" t="inlineStr">
        <is>
          <t>No hay cierre específico confirmado para la ventana, pero horarios o acceso pueden variar.</t>
        </is>
      </c>
      <c r="AY56" s="16" t="inlineStr">
        <is>
          <t>Reconfirmar en la web oficial al fijar fechas.</t>
        </is>
      </c>
    </row>
    <row r="57" ht="66" customHeight="1">
      <c r="A57" s="16" t="inlineStr">
        <is>
          <t>JP-056</t>
        </is>
      </c>
      <c r="B57" s="16" t="inlineStr">
        <is>
          <t>Kioto</t>
        </is>
      </c>
      <c r="C57" s="16" t="inlineStr">
        <is>
          <t>Kansai</t>
        </is>
      </c>
      <c r="D57" s="16" t="inlineStr">
        <is>
          <t>Kioto</t>
        </is>
      </c>
      <c r="E57" s="16" t="inlineStr">
        <is>
          <t>Kyoto</t>
        </is>
      </c>
      <c r="F57" s="16" t="inlineStr">
        <is>
          <t>Higashiyama</t>
        </is>
      </c>
      <c r="G57" s="16" t="inlineStr">
        <is>
          <t>Kiyomizu–Gion</t>
        </is>
      </c>
      <c r="H57" s="16" t="inlineStr">
        <is>
          <t>Yasaka Kōshin-dō</t>
        </is>
      </c>
      <c r="I57" s="16" t="inlineStr">
        <is>
          <t>八坂庚申堂</t>
        </is>
      </c>
      <c r="J57" s="16" t="inlineStr">
        <is>
          <t>Yasaka Kōshin-dō</t>
        </is>
      </c>
      <c r="K57" s="16" t="inlineStr">
        <is>
          <t>⛩️ Templos y santuarios</t>
        </is>
      </c>
      <c r="L57" s="16" t="inlineStr">
        <is>
          <t>templo</t>
        </is>
      </c>
      <c r="M57" s="16" t="inlineStr">
        <is>
          <t>D</t>
        </is>
      </c>
      <c r="N57" s="16" t="inlineStr">
        <is>
          <t>El atractivo viral de colores no compensa por sí solo el desvío ni la congestión.</t>
        </is>
      </c>
      <c r="O57" s="16" t="inlineStr">
        <is>
          <t>Pequeño templo cubierto de amuletos textiles de colores.</t>
        </is>
      </c>
      <c r="P57" s="16" t="inlineStr">
        <is>
          <t>Es fotogénico, pero la visita material es muy breve.</t>
        </is>
      </c>
      <c r="Q57" s="16" t="inlineStr">
        <is>
          <t>Pequeño templo cubierto de amuletos textiles de colores.</t>
        </is>
      </c>
      <c r="R57" s="16" t="inlineStr">
        <is>
          <t>10–25 min</t>
        </is>
      </c>
      <c r="S57" s="16" t="inlineStr">
        <is>
          <t>Mañana</t>
        </is>
      </c>
      <c r="T57" s="16" t="inlineStr">
        <is>
          <t>Todo el año</t>
        </is>
      </c>
      <c r="U57" s="16" t="inlineStr">
        <is>
          <t>Extremo</t>
        </is>
      </c>
      <c r="V57" s="16" t="inlineStr">
        <is>
          <t>Extremo</t>
        </is>
      </c>
      <c r="W57" s="89" t="n">
        <v>0</v>
      </c>
      <c r="X57" s="89" t="n">
        <v>0</v>
      </c>
      <c r="Y57" s="89">
        <f>W57*'Configuración'!$B$4</f>
        <v/>
      </c>
      <c r="Z57" s="89">
        <f>X57*'Configuración'!$B$4</f>
        <v/>
      </c>
      <c r="AA57" s="16" t="inlineStr">
        <is>
          <t>No</t>
        </is>
      </c>
      <c r="AB57" s="16" t="inlineStr">
        <is>
          <t>—</t>
        </is>
      </c>
      <c r="AC57" s="16" t="inlineStr">
        <is>
          <t>Diurno</t>
        </is>
      </c>
      <c r="AD57" s="16" t="inlineStr">
        <is>
          <t>Sin cierre ordinario</t>
        </is>
      </c>
      <c r="AE57" s="16" t="inlineStr">
        <is>
          <t>Higashiyama; a pie desde Kiyomizu</t>
        </is>
      </c>
      <c r="AF57" s="16" t="inlineStr">
        <is>
          <t>Parcial; pueden existir escalones, grava o edificios sin elevador</t>
        </is>
      </c>
      <c r="AG57" s="90" t="n">
        <v>34.9995</v>
      </c>
      <c r="AH57" s="90" t="n">
        <v>135.7807</v>
      </c>
      <c r="AI57" s="16" t="inlineStr">
        <is>
          <t>https://kyoto.travel/en/</t>
        </is>
      </c>
      <c r="AJ57" s="16" t="inlineStr">
        <is>
          <t>Cambiante</t>
        </is>
      </c>
      <c r="AK57" s="16" t="inlineStr">
        <is>
          <t>VIRAL / SKIP</t>
        </is>
      </c>
      <c r="AL57" s="16" t="inlineStr">
        <is>
          <t>fotografía</t>
        </is>
      </c>
      <c r="AM57" s="91" t="n">
        <v>4</v>
      </c>
      <c r="AN57" s="91" t="n">
        <v>2</v>
      </c>
      <c r="AO57" s="91" t="n">
        <v>1</v>
      </c>
      <c r="AP57" s="91" t="n">
        <v>5</v>
      </c>
      <c r="AQ57" s="16" t="inlineStr">
        <is>
          <t>Imagen ideal: es fotogénico, pero la visita material es muy breve. con luz de mañana, sin multitudes dominando el encuadre.</t>
        </is>
      </c>
      <c r="AR57" s="16" t="inlineStr">
        <is>
          <t>Kōdai-ji (~3 min a pie) | Sannenzaka and Ninenzaka (~4 min a pie) | Gion Corner (~7 min a pie)</t>
        </is>
      </c>
      <c r="AS57" s="16" t="inlineStr">
        <is>
          <t>Popular / turístico</t>
        </is>
      </c>
      <c r="AT57" s="16" t="str"/>
      <c r="AU57" s="16" t="inlineStr">
        <is>
          <t>https://www.google.com/maps/search/?api=1&amp;query=Yasaka%20K%C5%8Dshin-d%C5%8D%2C%20Kyoto%2C%20Japan</t>
        </is>
      </c>
      <c r="AV57" s="16" t="inlineStr">
        <is>
          <t>2026-09-01</t>
        </is>
      </c>
      <c r="AW57" s="16" t="inlineStr">
        <is>
          <t>CALENDARIO / CONDICIÓN PENDIENTE</t>
        </is>
      </c>
      <c r="AX57" s="16" t="inlineStr">
        <is>
          <t>No hay cierre específico confirmado para la ventana, pero horarios o acceso pueden variar.</t>
        </is>
      </c>
      <c r="AY57" s="16" t="inlineStr">
        <is>
          <t>Reconfirmar en la web oficial al fijar fechas.</t>
        </is>
      </c>
    </row>
    <row r="58" ht="66" customHeight="1">
      <c r="A58" s="16" t="inlineStr">
        <is>
          <t>JP-057</t>
        </is>
      </c>
      <c r="B58" s="16" t="inlineStr">
        <is>
          <t>Kioto</t>
        </is>
      </c>
      <c r="C58" s="16" t="inlineStr">
        <is>
          <t>Kansai</t>
        </is>
      </c>
      <c r="D58" s="16" t="inlineStr">
        <is>
          <t>Kioto</t>
        </is>
      </c>
      <c r="E58" s="16" t="inlineStr">
        <is>
          <t>Kyoto</t>
        </is>
      </c>
      <c r="F58" s="16" t="inlineStr">
        <is>
          <t>Gion</t>
        </is>
      </c>
      <c r="G58" s="16" t="inlineStr">
        <is>
          <t>Kiyomizu–Gion</t>
        </is>
      </c>
      <c r="H58" s="16" t="inlineStr">
        <is>
          <t>Gion Shirakawa</t>
        </is>
      </c>
      <c r="I58" s="16" t="inlineStr">
        <is>
          <t>祇園白川</t>
        </is>
      </c>
      <c r="J58" s="16" t="inlineStr">
        <is>
          <t>Gion Shirakawa</t>
        </is>
      </c>
      <c r="K58" s="16" t="inlineStr">
        <is>
          <t>🏙️ Ciudad y barrios</t>
        </is>
      </c>
      <c r="L58" s="16" t="inlineStr">
        <is>
          <t>barrio histórico</t>
        </is>
      </c>
      <c r="M58" s="16" t="inlineStr">
        <is>
          <t>A</t>
        </is>
      </c>
      <c r="N58" s="16" t="inlineStr">
        <is>
          <t>El canal y las fachadas ofrecen un Gion más legible que Hanamikoji en hora punta.</t>
        </is>
      </c>
      <c r="O58" s="16" t="inlineStr">
        <is>
          <t>Canal bordeado de sauces, puentes y ochaya tradicionales.</t>
        </is>
      </c>
      <c r="P58" s="16" t="inlineStr">
        <is>
          <t>Agua y baja escala suavizan la experiencia del distrito.</t>
        </is>
      </c>
      <c r="Q58" s="16" t="inlineStr">
        <is>
          <t>Canal bordeado de sauces, puentes y ochaya tradicionales.</t>
        </is>
      </c>
      <c r="R58" s="16" t="inlineStr">
        <is>
          <t>45–90 min</t>
        </is>
      </c>
      <c r="S58" s="16" t="inlineStr">
        <is>
          <t>Atardecer</t>
        </is>
      </c>
      <c r="T58" s="16" t="inlineStr">
        <is>
          <t>Sakura y todo el año</t>
        </is>
      </c>
      <c r="U58" s="16" t="inlineStr">
        <is>
          <t>Alto</t>
        </is>
      </c>
      <c r="V58" s="16" t="inlineStr">
        <is>
          <t>Alto</t>
        </is>
      </c>
      <c r="W58" s="89" t="n">
        <v>0</v>
      </c>
      <c r="X58" s="89" t="n">
        <v>0</v>
      </c>
      <c r="Y58" s="89">
        <f>W58*'Configuración'!$B$4</f>
        <v/>
      </c>
      <c r="Z58" s="89">
        <f>X58*'Configuración'!$B$4</f>
        <v/>
      </c>
      <c r="AA58" s="16" t="inlineStr">
        <is>
          <t>No</t>
        </is>
      </c>
      <c r="AB58" s="16" t="inlineStr">
        <is>
          <t>—</t>
        </is>
      </c>
      <c r="AC58" s="16" t="inlineStr">
        <is>
          <t>Espacio público; respetar propiedades</t>
        </is>
      </c>
      <c r="AD58" s="16" t="inlineStr">
        <is>
          <t>Sin cierre</t>
        </is>
      </c>
      <c r="AE58" s="16" t="inlineStr">
        <is>
          <t>Keihan Gion-Shijo / Sanjo</t>
        </is>
      </c>
      <c r="AF58" s="16" t="inlineStr">
        <is>
          <t>Buena en áreas principales; confirmar detalles con el recinto</t>
        </is>
      </c>
      <c r="AG58" s="90" t="n">
        <v>35.0054</v>
      </c>
      <c r="AH58" s="90" t="n">
        <v>135.7733</v>
      </c>
      <c r="AI58" s="16" t="inlineStr">
        <is>
          <t>https://kyoto.travel/en/</t>
        </is>
      </c>
      <c r="AJ58" s="16" t="inlineStr">
        <is>
          <t>Cambiante</t>
        </is>
      </c>
      <c r="AK58" s="16" t="inlineStr">
        <is>
          <t>CULTURE</t>
        </is>
      </c>
      <c r="AL58" s="16" t="inlineStr">
        <is>
          <t>pareja, fotografía, arquitectura</t>
        </is>
      </c>
      <c r="AM58" s="91" t="n">
        <v>5</v>
      </c>
      <c r="AN58" s="91" t="n">
        <v>4</v>
      </c>
      <c r="AO58" s="91" t="n">
        <v>4</v>
      </c>
      <c r="AP58" s="91" t="n">
        <v>4</v>
      </c>
      <c r="AQ58" s="16" t="inlineStr">
        <is>
          <t>Imagen ideal: agua y baja escala suavizan la experiencia del distrito. con luz de atardecer, sin multitudes dominando el encuadre.</t>
        </is>
      </c>
      <c r="AR58" s="16" t="inlineStr">
        <is>
          <t>Kennin-ji (~7 min a pie) | Gion Corner (~9 min a pie) | Nishiki Market (~11 min a pie)</t>
        </is>
      </c>
      <c r="AS58" s="16" t="inlineStr">
        <is>
          <t>Popular / turístico</t>
        </is>
      </c>
      <c r="AT58" s="16" t="str"/>
      <c r="AU58" s="16" t="inlineStr">
        <is>
          <t>https://www.google.com/maps/search/?api=1&amp;query=Gion%20Shirakawa%2C%20Kyoto%2C%20Japan</t>
        </is>
      </c>
      <c r="AV58" s="16" t="inlineStr">
        <is>
          <t>2026-09-01</t>
        </is>
      </c>
      <c r="AW58" s="16" t="inlineStr">
        <is>
          <t>ABIERTO; FLORACIÓN NO GARANTIZADA</t>
        </is>
      </c>
      <c r="AX58" s="16" t="inlineStr">
        <is>
          <t>En Japón central la floración plena suele ser más tardía; finales de marzo es incierto.</t>
        </is>
      </c>
      <c r="AY58" s="16" t="inlineStr">
        <is>
          <t>No basar la visita en sakura hasta el pronóstico 2027.</t>
        </is>
      </c>
    </row>
    <row r="59" ht="66" customHeight="1">
      <c r="A59" s="16" t="inlineStr">
        <is>
          <t>JP-058</t>
        </is>
      </c>
      <c r="B59" s="16" t="inlineStr">
        <is>
          <t>Kioto</t>
        </is>
      </c>
      <c r="C59" s="16" t="inlineStr">
        <is>
          <t>Kansai</t>
        </is>
      </c>
      <c r="D59" s="16" t="inlineStr">
        <is>
          <t>Kioto</t>
        </is>
      </c>
      <c r="E59" s="16" t="inlineStr">
        <is>
          <t>Kyoto</t>
        </is>
      </c>
      <c r="F59" s="16" t="inlineStr">
        <is>
          <t>Gion</t>
        </is>
      </c>
      <c r="G59" s="16" t="inlineStr">
        <is>
          <t>Kiyomizu–Gion</t>
        </is>
      </c>
      <c r="H59" s="16" t="inlineStr">
        <is>
          <t>Kennin-ji</t>
        </is>
      </c>
      <c r="I59" s="16" t="inlineStr">
        <is>
          <t>建仁寺</t>
        </is>
      </c>
      <c r="J59" s="16" t="inlineStr">
        <is>
          <t>Kennin-ji</t>
        </is>
      </c>
      <c r="K59" s="16" t="inlineStr">
        <is>
          <t>⛩️ Templos y santuarios</t>
        </is>
      </c>
      <c r="L59" s="16" t="inlineStr">
        <is>
          <t>templo zen</t>
        </is>
      </c>
      <c r="M59" s="16" t="inlineStr">
        <is>
          <t>A</t>
        </is>
      </c>
      <c r="N59" s="16" t="inlineStr">
        <is>
          <t>Excelente arte y jardines en pleno Gion con menos presión que los iconos mayores.</t>
        </is>
      </c>
      <c r="O59" s="16" t="inlineStr">
        <is>
          <t>Templo zen con dragones pintados, biombos y jardines secos.</t>
        </is>
      </c>
      <c r="P59" s="16" t="inlineStr">
        <is>
          <t>Ofrece interior, arte y contemplación, no solo una fachada.</t>
        </is>
      </c>
      <c r="Q59" s="16" t="inlineStr">
        <is>
          <t>Templo zen con dragones pintados, biombos y jardines secos.</t>
        </is>
      </c>
      <c r="R59" s="16" t="inlineStr">
        <is>
          <t>1–1.5 h</t>
        </is>
      </c>
      <c r="S59" s="16" t="inlineStr">
        <is>
          <t>Mañana</t>
        </is>
      </c>
      <c r="T59" s="16" t="inlineStr">
        <is>
          <t>Todo el año</t>
        </is>
      </c>
      <c r="U59" s="16" t="inlineStr">
        <is>
          <t>Medio</t>
        </is>
      </c>
      <c r="V59" s="16" t="inlineStr">
        <is>
          <t>Medio</t>
        </is>
      </c>
      <c r="W59" s="89" t="n">
        <v>600</v>
      </c>
      <c r="X59" s="89" t="n">
        <v>600</v>
      </c>
      <c r="Y59" s="89">
        <f>W59*'Configuración'!$B$4</f>
        <v/>
      </c>
      <c r="Z59" s="89">
        <f>X59*'Configuración'!$B$4</f>
        <v/>
      </c>
      <c r="AA59" s="16" t="inlineStr">
        <is>
          <t>No</t>
        </is>
      </c>
      <c r="AB59" s="16" t="inlineStr">
        <is>
          <t>—</t>
        </is>
      </c>
      <c r="AC59" s="16" t="inlineStr">
        <is>
          <t>10:00–16:30 aprox.</t>
        </is>
      </c>
      <c r="AD59" s="16" t="inlineStr">
        <is>
          <t>Variable</t>
        </is>
      </c>
      <c r="AE59" s="16" t="inlineStr">
        <is>
          <t>Gion-Shijo</t>
        </is>
      </c>
      <c r="AF59" s="16" t="inlineStr">
        <is>
          <t>Parcial; pueden existir escalones, grava o edificios sin elevador</t>
        </is>
      </c>
      <c r="AG59" s="90" t="n">
        <v>35.0007</v>
      </c>
      <c r="AH59" s="90" t="n">
        <v>135.7739</v>
      </c>
      <c r="AI59" s="16" t="inlineStr">
        <is>
          <t>https://www.kenninji.jp/english/</t>
        </is>
      </c>
      <c r="AJ59" s="16" t="inlineStr">
        <is>
          <t>Cambiante</t>
        </is>
      </c>
      <c r="AK59" s="16" t="inlineStr">
        <is>
          <t>HIDDEN GEM</t>
        </is>
      </c>
      <c r="AL59" s="16" t="inlineStr">
        <is>
          <t>arte, cultura, jardines</t>
        </is>
      </c>
      <c r="AM59" s="91" t="n">
        <v>4</v>
      </c>
      <c r="AN59" s="91" t="n">
        <v>5</v>
      </c>
      <c r="AO59" s="91" t="n">
        <v>5</v>
      </c>
      <c r="AP59" s="91" t="n">
        <v>2</v>
      </c>
      <c r="AQ59" s="16" t="inlineStr">
        <is>
          <t>Imagen ideal: ofrece interior, arte y contemplación, no solo una fachada. con luz de mañana, sin multitudes dominando el encuadre.</t>
        </is>
      </c>
      <c r="AR59" s="16" t="inlineStr">
        <is>
          <t>Gion Corner (~3 min a pie) | Gion Shirakawa (~7 min a pie) | Yasaka Kōshin-dō (~9 min a pie)</t>
        </is>
      </c>
      <c r="AS59" s="16" t="inlineStr">
        <is>
          <t>Semi-hidden</t>
        </is>
      </c>
      <c r="AT59" s="16" t="str"/>
      <c r="AU59" s="16" t="inlineStr">
        <is>
          <t>https://www.google.com/maps/search/?api=1&amp;query=Kennin-ji%2C%20Kyoto%2C%20Japan</t>
        </is>
      </c>
      <c r="AV59" s="16" t="inlineStr">
        <is>
          <t>2026-09-01</t>
        </is>
      </c>
      <c r="AW59" s="16" t="inlineStr">
        <is>
          <t>CALENDARIO / CONDICIÓN PENDIENTE</t>
        </is>
      </c>
      <c r="AX59" s="16" t="inlineStr">
        <is>
          <t>No hay cierre específico confirmado para la ventana, pero horarios o acceso pueden variar.</t>
        </is>
      </c>
      <c r="AY59" s="16" t="inlineStr">
        <is>
          <t>Reconfirmar en la web oficial al fijar fechas.</t>
        </is>
      </c>
    </row>
    <row r="60" ht="66" customHeight="1">
      <c r="A60" s="16" t="inlineStr">
        <is>
          <t>JP-059</t>
        </is>
      </c>
      <c r="B60" s="16" t="inlineStr">
        <is>
          <t>Kioto</t>
        </is>
      </c>
      <c r="C60" s="16" t="inlineStr">
        <is>
          <t>Kansai</t>
        </is>
      </c>
      <c r="D60" s="16" t="inlineStr">
        <is>
          <t>Kioto</t>
        </is>
      </c>
      <c r="E60" s="16" t="inlineStr">
        <is>
          <t>Kyoto</t>
        </is>
      </c>
      <c r="F60" s="16" t="inlineStr">
        <is>
          <t>Higashiyama</t>
        </is>
      </c>
      <c r="G60" s="16" t="inlineStr">
        <is>
          <t>Kiyomizu–Gion</t>
        </is>
      </c>
      <c r="H60" s="16" t="inlineStr">
        <is>
          <t>Kōdai-ji</t>
        </is>
      </c>
      <c r="I60" s="16" t="inlineStr">
        <is>
          <t>高台寺</t>
        </is>
      </c>
      <c r="J60" s="16" t="inlineStr">
        <is>
          <t>Kōdai-ji</t>
        </is>
      </c>
      <c r="K60" s="16" t="inlineStr">
        <is>
          <t>⛩️ Templos y santuarios</t>
        </is>
      </c>
      <c r="L60" s="16" t="inlineStr">
        <is>
          <t>templo/jardín</t>
        </is>
      </c>
      <c r="M60" s="16" t="inlineStr">
        <is>
          <t>A</t>
        </is>
      </c>
      <c r="N60" s="16" t="inlineStr">
        <is>
          <t>Buen equilibrio de jardín, arquitectura, bambú y aperturas nocturnas.</t>
        </is>
      </c>
      <c r="O60" s="16" t="inlineStr">
        <is>
          <t>Complejo asociado a Nene, esposa de Toyotomi Hideyoshi.</t>
        </is>
      </c>
      <c r="P60" s="16" t="inlineStr">
        <is>
          <t>Concentra varios paisajes sin la escala industrial de Arashiyama.</t>
        </is>
      </c>
      <c r="Q60" s="16" t="inlineStr">
        <is>
          <t>Complejo asociado a Nene, esposa de Toyotomi Hideyoshi.</t>
        </is>
      </c>
      <c r="R60" s="16" t="inlineStr">
        <is>
          <t>1–2 h</t>
        </is>
      </c>
      <c r="S60" s="16" t="inlineStr">
        <is>
          <t>Atardecer</t>
        </is>
      </c>
      <c r="T60" s="16" t="inlineStr">
        <is>
          <t>Otoño y eventos nocturnos</t>
        </is>
      </c>
      <c r="U60" s="16" t="inlineStr">
        <is>
          <t>Alto</t>
        </is>
      </c>
      <c r="V60" s="16" t="inlineStr">
        <is>
          <t>Alto</t>
        </is>
      </c>
      <c r="W60" s="89" t="n">
        <v>600</v>
      </c>
      <c r="X60" s="89" t="n">
        <v>600</v>
      </c>
      <c r="Y60" s="89">
        <f>W60*'Configuración'!$B$4</f>
        <v/>
      </c>
      <c r="Z60" s="89">
        <f>X60*'Configuración'!$B$4</f>
        <v/>
      </c>
      <c r="AA60" s="16" t="inlineStr">
        <is>
          <t>No</t>
        </is>
      </c>
      <c r="AB60" s="16" t="inlineStr">
        <is>
          <t>—</t>
        </is>
      </c>
      <c r="AC60" s="16" t="inlineStr">
        <is>
          <t>09:00–17:30; iluminaciones variables</t>
        </is>
      </c>
      <c r="AD60" s="16" t="inlineStr">
        <is>
          <t>Sin cierre ordinario</t>
        </is>
      </c>
      <c r="AE60" s="16" t="inlineStr">
        <is>
          <t>Higashiyama; bus Higashiyama Yasui</t>
        </is>
      </c>
      <c r="AF60" s="16" t="inlineStr">
        <is>
          <t>Parcial; pueden existir escalones, grava o edificios sin elevador</t>
        </is>
      </c>
      <c r="AG60" s="90" t="n">
        <v>35.0007</v>
      </c>
      <c r="AH60" s="90" t="n">
        <v>135.781</v>
      </c>
      <c r="AI60" s="16" t="inlineStr">
        <is>
          <t>https://www.kodaiji.com/e_index.html</t>
        </is>
      </c>
      <c r="AJ60" s="16" t="inlineStr">
        <is>
          <t>Cambiante</t>
        </is>
      </c>
      <c r="AK60" s="16" t="inlineStr">
        <is>
          <t>CULTURE</t>
        </is>
      </c>
      <c r="AL60" s="16" t="inlineStr">
        <is>
          <t>pareja, jardines, historia, noche</t>
        </is>
      </c>
      <c r="AM60" s="91" t="n">
        <v>5</v>
      </c>
      <c r="AN60" s="91" t="n">
        <v>4</v>
      </c>
      <c r="AO60" s="91" t="n">
        <v>5</v>
      </c>
      <c r="AP60" s="91" t="n">
        <v>4</v>
      </c>
      <c r="AQ60" s="16" t="inlineStr">
        <is>
          <t>Imagen ideal: concentra varios paisajes sin la escala industrial de arashiyama. con luz de atardecer, sin multitudes dominando el encuadre.</t>
        </is>
      </c>
      <c r="AR60" s="16" t="inlineStr">
        <is>
          <t>Yasaka Kōshin-dō (~3 min a pie) | Sannenzaka and Ninenzaka (~5 min a pie) | Gion Corner (~7 min a pie)</t>
        </is>
      </c>
      <c r="AS60" s="16" t="inlineStr">
        <is>
          <t>Popular / turístico</t>
        </is>
      </c>
      <c r="AT60" s="16" t="str"/>
      <c r="AU60" s="16" t="inlineStr">
        <is>
          <t>https://www.google.com/maps/search/?api=1&amp;query=K%C5%8Ddai-ji%2C%20Kyoto%2C%20Japan</t>
        </is>
      </c>
      <c r="AV60" s="16" t="inlineStr">
        <is>
          <t>2026-09-01</t>
        </is>
      </c>
      <c r="AW60" s="16" t="inlineStr">
        <is>
          <t>CALENDARIO / CONDICIÓN PENDIENTE</t>
        </is>
      </c>
      <c r="AX60" s="16" t="inlineStr">
        <is>
          <t>No hay cierre específico confirmado para la ventana, pero horarios o acceso pueden variar.</t>
        </is>
      </c>
      <c r="AY60" s="16" t="inlineStr">
        <is>
          <t>Reconfirmar en la web oficial al fijar fechas.</t>
        </is>
      </c>
    </row>
    <row r="61" ht="66" customHeight="1">
      <c r="A61" s="16" t="inlineStr">
        <is>
          <t>JP-060</t>
        </is>
      </c>
      <c r="B61" s="16" t="inlineStr">
        <is>
          <t>Kioto</t>
        </is>
      </c>
      <c r="C61" s="16" t="inlineStr">
        <is>
          <t>Kansai</t>
        </is>
      </c>
      <c r="D61" s="16" t="inlineStr">
        <is>
          <t>Kioto</t>
        </is>
      </c>
      <c r="E61" s="16" t="inlineStr">
        <is>
          <t>Kyoto</t>
        </is>
      </c>
      <c r="F61" s="16" t="inlineStr">
        <is>
          <t>Higashiyama</t>
        </is>
      </c>
      <c r="G61" s="16" t="inlineStr">
        <is>
          <t>Okazaki–Philosopher</t>
        </is>
      </c>
      <c r="H61" s="16" t="inlineStr">
        <is>
          <t>Nanzen-ji</t>
        </is>
      </c>
      <c r="I61" s="16" t="inlineStr">
        <is>
          <t>南禅寺</t>
        </is>
      </c>
      <c r="J61" s="16" t="inlineStr">
        <is>
          <t>Nanzen-ji</t>
        </is>
      </c>
      <c r="K61" s="16" t="inlineStr">
        <is>
          <t>⛩️ Templos y santuarios</t>
        </is>
      </c>
      <c r="L61" s="16" t="inlineStr">
        <is>
          <t>templo zen</t>
        </is>
      </c>
      <c r="M61" s="16" t="inlineStr">
        <is>
          <t>A</t>
        </is>
      </c>
      <c r="N61" s="16" t="inlineStr">
        <is>
          <t>Escala, jardines y acueducto crean uno de los complejos más ricos de Kioto. Clasificación v2: excelente y muy recomendable, pero no justifica por sí sola adaptar la ruta.</t>
        </is>
      </c>
      <c r="O61" s="16" t="inlineStr">
        <is>
          <t>Gran monasterio zen con puerta monumental, subtemplos y acueducto Meiji.</t>
        </is>
      </c>
      <c r="P61" s="16" t="inlineStr">
        <is>
          <t>La yuxtaposición de ladrillo industrial y arquitectura religiosa es única.</t>
        </is>
      </c>
      <c r="Q61" s="16" t="inlineStr">
        <is>
          <t>Gran monasterio zen con puerta monumental, subtemplos y acueducto Meiji.</t>
        </is>
      </c>
      <c r="R61" s="16" t="inlineStr">
        <is>
          <t>2–3 h</t>
        </is>
      </c>
      <c r="S61" s="16" t="inlineStr">
        <is>
          <t>Mañana</t>
        </is>
      </c>
      <c r="T61" s="16" t="inlineStr">
        <is>
          <t>Otoño</t>
        </is>
      </c>
      <c r="U61" s="16" t="inlineStr">
        <is>
          <t>Alto</t>
        </is>
      </c>
      <c r="V61" s="16" t="inlineStr">
        <is>
          <t>Alto</t>
        </is>
      </c>
      <c r="W61" s="89" t="n">
        <v>0</v>
      </c>
      <c r="X61" s="89" t="n">
        <v>1200</v>
      </c>
      <c r="Y61" s="89">
        <f>W61*'Configuración'!$B$4</f>
        <v/>
      </c>
      <c r="Z61" s="89">
        <f>X61*'Configuración'!$B$4</f>
        <v/>
      </c>
      <c r="AA61" s="16" t="inlineStr">
        <is>
          <t>No</t>
        </is>
      </c>
      <c r="AB61" s="16" t="inlineStr">
        <is>
          <t>—</t>
        </is>
      </c>
      <c r="AC61" s="16" t="inlineStr">
        <is>
          <t>Recinto diurno; subtemplos variables</t>
        </is>
      </c>
      <c r="AD61" s="16" t="inlineStr">
        <is>
          <t>Sin cierre ordinario</t>
        </is>
      </c>
      <c r="AE61" s="16" t="inlineStr">
        <is>
          <t>Keage</t>
        </is>
      </c>
      <c r="AF61" s="16" t="inlineStr">
        <is>
          <t>Parcial; pueden existir escalones, grava o edificios sin elevador</t>
        </is>
      </c>
      <c r="AG61" s="90" t="n">
        <v>35.0114</v>
      </c>
      <c r="AH61" s="90" t="n">
        <v>135.7945</v>
      </c>
      <c r="AI61" s="16" t="inlineStr">
        <is>
          <t>https://www.nanzenji.or.jp/en/</t>
        </is>
      </c>
      <c r="AJ61" s="16" t="inlineStr">
        <is>
          <t>Cambiante</t>
        </is>
      </c>
      <c r="AK61" s="16" t="inlineStr">
        <is>
          <t>MUST SEE</t>
        </is>
      </c>
      <c r="AL61" s="16" t="inlineStr">
        <is>
          <t>arquitectura, jardines, historia, fotografía</t>
        </is>
      </c>
      <c r="AM61" s="91" t="n">
        <v>5</v>
      </c>
      <c r="AN61" s="91" t="n">
        <v>5</v>
      </c>
      <c r="AO61" s="91" t="n">
        <v>5</v>
      </c>
      <c r="AP61" s="91" t="n">
        <v>4</v>
      </c>
      <c r="AQ61" s="16" t="inlineStr">
        <is>
          <t>Imagen ideal: la yuxtaposición de ladrillo industrial y arquitectura religiosa es única. con luz de mañana, sin multitudes dominando el encuadre.</t>
        </is>
      </c>
      <c r="AR61" s="16" t="inlineStr">
        <is>
          <t>Eikan-dō (~5 min a pie) | Murin-an (~7 min a pie) | Hōnen-in (~18 min a pie)</t>
        </is>
      </c>
      <c r="AS61" s="16" t="inlineStr">
        <is>
          <t>Popular / turístico</t>
        </is>
      </c>
      <c r="AT61" s="16" t="str"/>
      <c r="AU61" s="16" t="inlineStr">
        <is>
          <t>https://www.google.com/maps/search/?api=1&amp;query=Nanzen-ji%2C%20Kyoto%2C%20Japan</t>
        </is>
      </c>
      <c r="AV61" s="16" t="inlineStr">
        <is>
          <t>2026-09-01</t>
        </is>
      </c>
      <c r="AW61" s="16" t="inlineStr">
        <is>
          <t>CALENDARIO / CONDICIÓN PENDIENTE</t>
        </is>
      </c>
      <c r="AX61" s="16" t="inlineStr">
        <is>
          <t>No hay cierre específico confirmado para la ventana, pero horarios o acceso pueden variar.</t>
        </is>
      </c>
      <c r="AY61" s="16" t="inlineStr">
        <is>
          <t>Reconfirmar en la web oficial al fijar fechas.</t>
        </is>
      </c>
    </row>
    <row r="62" ht="66" customHeight="1">
      <c r="A62" s="16" t="inlineStr">
        <is>
          <t>JP-061</t>
        </is>
      </c>
      <c r="B62" s="16" t="inlineStr">
        <is>
          <t>Kioto</t>
        </is>
      </c>
      <c r="C62" s="16" t="inlineStr">
        <is>
          <t>Kansai</t>
        </is>
      </c>
      <c r="D62" s="16" t="inlineStr">
        <is>
          <t>Kioto</t>
        </is>
      </c>
      <c r="E62" s="16" t="inlineStr">
        <is>
          <t>Kyoto</t>
        </is>
      </c>
      <c r="F62" s="16" t="inlineStr">
        <is>
          <t>Keage</t>
        </is>
      </c>
      <c r="G62" s="16" t="inlineStr">
        <is>
          <t>Okazaki–Philosopher</t>
        </is>
      </c>
      <c r="H62" s="16" t="inlineStr">
        <is>
          <t>Murin-an</t>
        </is>
      </c>
      <c r="I62" s="16" t="inlineStr">
        <is>
          <t>無鄰菴</t>
        </is>
      </c>
      <c r="J62" s="16" t="inlineStr">
        <is>
          <t>Murin-an</t>
        </is>
      </c>
      <c r="K62" s="16" t="inlineStr">
        <is>
          <t>🌸 Jardines y paisajes</t>
        </is>
      </c>
      <c r="L62" s="16" t="inlineStr">
        <is>
          <t>jardín</t>
        </is>
      </c>
      <c r="M62" s="16" t="inlineStr">
        <is>
          <t>A</t>
        </is>
      </c>
      <c r="N62" s="16" t="inlineStr">
        <is>
          <t>Uno de los jardines más refinados y tranquilos del centro, con control de aforo. Clasificación v2: excelente y muy recomendable, pero no justifica por sí sola adaptar la ruta.</t>
        </is>
      </c>
      <c r="O62" s="16" t="inlineStr">
        <is>
          <t>Villa Meiji y jardín de Ogawa Jihei alimentado por el canal Biwa.</t>
        </is>
      </c>
      <c r="P62" s="16" t="inlineStr">
        <is>
          <t>Paisaje naturalista íntimo diseñado para mirarse sentado.</t>
        </is>
      </c>
      <c r="Q62" s="16" t="inlineStr">
        <is>
          <t>Villa Meiji y jardín de Ogawa Jihei alimentado por el canal Biwa.</t>
        </is>
      </c>
      <c r="R62" s="16" t="inlineStr">
        <is>
          <t>1–1.5 h</t>
        </is>
      </c>
      <c r="S62" s="16" t="inlineStr">
        <is>
          <t>Mañana</t>
        </is>
      </c>
      <c r="T62" s="16" t="inlineStr">
        <is>
          <t>Todo el año; otoño</t>
        </is>
      </c>
      <c r="U62" s="16" t="inlineStr">
        <is>
          <t>Bajo</t>
        </is>
      </c>
      <c r="V62" s="16" t="inlineStr">
        <is>
          <t>Bajo</t>
        </is>
      </c>
      <c r="W62" s="89" t="n">
        <v>600</v>
      </c>
      <c r="X62" s="89" t="n">
        <v>1200</v>
      </c>
      <c r="Y62" s="89">
        <f>W62*'Configuración'!$B$4</f>
        <v/>
      </c>
      <c r="Z62" s="89">
        <f>X62*'Configuración'!$B$4</f>
        <v/>
      </c>
      <c r="AA62" s="16" t="inlineStr">
        <is>
          <t>Recomendable</t>
        </is>
      </c>
      <c r="AB62" s="16" t="inlineStr">
        <is>
          <t>Días; temporada alta antes</t>
        </is>
      </c>
      <c r="AC62" s="16" t="inlineStr">
        <is>
          <t>Horario variable por temporada</t>
        </is>
      </c>
      <c r="AD62" s="16" t="inlineStr">
        <is>
          <t>29–31 dic; verificar</t>
        </is>
      </c>
      <c r="AE62" s="16" t="inlineStr">
        <is>
          <t>Keage</t>
        </is>
      </c>
      <c r="AF62" s="16" t="inlineStr">
        <is>
          <t>Parcial; pueden existir escalones, grava o edificios sin elevador</t>
        </is>
      </c>
      <c r="AG62" s="90" t="n">
        <v>35.0101</v>
      </c>
      <c r="AH62" s="90" t="n">
        <v>135.7895</v>
      </c>
      <c r="AI62" s="16" t="inlineStr">
        <is>
          <t>https://murin-an.jp/en/</t>
        </is>
      </c>
      <c r="AJ62" s="16" t="inlineStr">
        <is>
          <t>Cambiante</t>
        </is>
      </c>
      <c r="AK62" s="16" t="inlineStr">
        <is>
          <t>HIDDEN GEM</t>
        </is>
      </c>
      <c r="AL62" s="16" t="inlineStr">
        <is>
          <t>pareja, jardines, arquitectura</t>
        </is>
      </c>
      <c r="AM62" s="91" t="n">
        <v>5</v>
      </c>
      <c r="AN62" s="91" t="n">
        <v>5</v>
      </c>
      <c r="AO62" s="91" t="n">
        <v>5</v>
      </c>
      <c r="AP62" s="91" t="n">
        <v>1</v>
      </c>
      <c r="AQ62" s="16" t="inlineStr">
        <is>
          <t>Imagen ideal: paisaje naturalista íntimo diseñado para mirarse sentado. con luz de mañana, sin multitudes dominando el encuadre.</t>
        </is>
      </c>
      <c r="AR62" s="16" t="inlineStr">
        <is>
          <t>Nanzen-ji (~7 min a pie) | Eikan-dō (~9 min a pie) | Kōdai-ji (~18 min a pie)</t>
        </is>
      </c>
      <c r="AS62" s="16" t="inlineStr">
        <is>
          <t>Hidden Gem real</t>
        </is>
      </c>
      <c r="AT62" s="16" t="str"/>
      <c r="AU62" s="16" t="inlineStr">
        <is>
          <t>https://www.google.com/maps/search/?api=1&amp;query=Murin-an%2C%20Kyoto%2C%20Japan</t>
        </is>
      </c>
      <c r="AV62" s="16" t="inlineStr">
        <is>
          <t>2026-09-01</t>
        </is>
      </c>
      <c r="AW62" s="16" t="inlineStr">
        <is>
          <t>CALENDARIO / CONDICIÓN PENDIENTE</t>
        </is>
      </c>
      <c r="AX62" s="16" t="inlineStr">
        <is>
          <t>No hay cierre específico confirmado para la ventana, pero horarios o acceso pueden variar.</t>
        </is>
      </c>
      <c r="AY62" s="16" t="inlineStr">
        <is>
          <t>Reconfirmar en la web oficial al fijar fechas.</t>
        </is>
      </c>
    </row>
    <row r="63" ht="66" customHeight="1">
      <c r="A63" s="16" t="inlineStr">
        <is>
          <t>JP-062</t>
        </is>
      </c>
      <c r="B63" s="16" t="inlineStr">
        <is>
          <t>Kioto</t>
        </is>
      </c>
      <c r="C63" s="16" t="inlineStr">
        <is>
          <t>Kansai</t>
        </is>
      </c>
      <c r="D63" s="16" t="inlineStr">
        <is>
          <t>Kioto</t>
        </is>
      </c>
      <c r="E63" s="16" t="inlineStr">
        <is>
          <t>Kyoto</t>
        </is>
      </c>
      <c r="F63" s="16" t="inlineStr">
        <is>
          <t>Eikando</t>
        </is>
      </c>
      <c r="G63" s="16" t="inlineStr">
        <is>
          <t>Okazaki–Philosopher</t>
        </is>
      </c>
      <c r="H63" s="16" t="inlineStr">
        <is>
          <t>Eikan-dō</t>
        </is>
      </c>
      <c r="I63" s="16" t="inlineStr">
        <is>
          <t>永観堂</t>
        </is>
      </c>
      <c r="J63" s="16" t="inlineStr">
        <is>
          <t>Eikan-dō</t>
        </is>
      </c>
      <c r="K63" s="16" t="inlineStr">
        <is>
          <t>⛩️ Templos y santuarios</t>
        </is>
      </c>
      <c r="L63" s="16" t="inlineStr">
        <is>
          <t>templo/jardín</t>
        </is>
      </c>
      <c r="M63" s="16" t="inlineStr">
        <is>
          <t>A</t>
        </is>
      </c>
      <c r="N63" s="16" t="inlineStr">
        <is>
          <t>Uno de los mejores paisajes de otoño, aunque extremadamente concurrido en pico.</t>
        </is>
      </c>
      <c r="O63" s="16" t="inlineStr">
        <is>
          <t>Templo de ladera con corredor, pagoda y célebre arce.</t>
        </is>
      </c>
      <c r="P63" s="16" t="inlineStr">
        <is>
          <t>El recorrido vertical ofrece vistas y secuencias espaciales variadas.</t>
        </is>
      </c>
      <c r="Q63" s="16" t="inlineStr">
        <is>
          <t>Templo de ladera con corredor, pagoda y célebre arce.</t>
        </is>
      </c>
      <c r="R63" s="16" t="inlineStr">
        <is>
          <t>1.5–2 h</t>
        </is>
      </c>
      <c r="S63" s="16" t="inlineStr">
        <is>
          <t>Mañana</t>
        </is>
      </c>
      <c r="T63" s="16" t="inlineStr">
        <is>
          <t>Otoño</t>
        </is>
      </c>
      <c r="U63" s="16" t="inlineStr">
        <is>
          <t>Extremo</t>
        </is>
      </c>
      <c r="V63" s="16" t="inlineStr">
        <is>
          <t>Alto</t>
        </is>
      </c>
      <c r="W63" s="89" t="n">
        <v>600</v>
      </c>
      <c r="X63" s="89" t="n">
        <v>1000</v>
      </c>
      <c r="Y63" s="89">
        <f>W63*'Configuración'!$B$4</f>
        <v/>
      </c>
      <c r="Z63" s="89">
        <f>X63*'Configuración'!$B$4</f>
        <v/>
      </c>
      <c r="AA63" s="16" t="inlineStr">
        <is>
          <t>No</t>
        </is>
      </c>
      <c r="AB63" s="16" t="inlineStr">
        <is>
          <t>—</t>
        </is>
      </c>
      <c r="AC63" s="16" t="inlineStr">
        <is>
          <t>09:00–17:00 aprox.</t>
        </is>
      </c>
      <c r="AD63" s="16" t="inlineStr">
        <is>
          <t>Sin cierre ordinario</t>
        </is>
      </c>
      <c r="AE63" s="16" t="inlineStr">
        <is>
          <t>Keage + 15 min</t>
        </is>
      </c>
      <c r="AF63" s="16" t="inlineStr">
        <is>
          <t>Parcial; pueden existir escalones, grava o edificios sin elevador</t>
        </is>
      </c>
      <c r="AG63" s="90" t="n">
        <v>35.0144</v>
      </c>
      <c r="AH63" s="90" t="n">
        <v>135.7944</v>
      </c>
      <c r="AI63" s="16" t="inlineStr">
        <is>
          <t>https://www.eikando.or.jp/English/index_eng.html</t>
        </is>
      </c>
      <c r="AJ63" s="16" t="inlineStr">
        <is>
          <t>Cambiante</t>
        </is>
      </c>
      <c r="AK63" s="16" t="inlineStr">
        <is>
          <t>AUTUMN</t>
        </is>
      </c>
      <c r="AL63" s="16" t="inlineStr">
        <is>
          <t>jardines, cultura, fotografía</t>
        </is>
      </c>
      <c r="AM63" s="91" t="n">
        <v>5</v>
      </c>
      <c r="AN63" s="91" t="n">
        <v>4</v>
      </c>
      <c r="AO63" s="91" t="n">
        <v>4</v>
      </c>
      <c r="AP63" s="91" t="n">
        <v>5</v>
      </c>
      <c r="AQ63" s="16" t="inlineStr">
        <is>
          <t>Imagen ideal: el recorrido vertical ofrece vistas y secuencias espaciales variadas. con luz de mañana, sin multitudes dominando el encuadre.</t>
        </is>
      </c>
      <c r="AR63" s="16" t="inlineStr">
        <is>
          <t>Nanzen-ji (~5 min a pie) | Murin-an (~9 min a pie) | Hōnen-in (~13 min a pie)</t>
        </is>
      </c>
      <c r="AS63" s="16" t="inlineStr">
        <is>
          <t>Popular / turístico</t>
        </is>
      </c>
      <c r="AT63" s="16" t="str"/>
      <c r="AU63" s="16" t="inlineStr">
        <is>
          <t>https://www.google.com/maps/search/?api=1&amp;query=Eikan-d%C5%8D%2C%20Kyoto%2C%20Japan</t>
        </is>
      </c>
      <c r="AV63" s="16" t="inlineStr">
        <is>
          <t>2026-09-01</t>
        </is>
      </c>
      <c r="AW63" s="16" t="inlineStr">
        <is>
          <t>CALENDARIO / CONDICIÓN PENDIENTE</t>
        </is>
      </c>
      <c r="AX63" s="16" t="inlineStr">
        <is>
          <t>No hay cierre específico confirmado para la ventana, pero horarios o acceso pueden variar.</t>
        </is>
      </c>
      <c r="AY63" s="16" t="inlineStr">
        <is>
          <t>Reconfirmar en la web oficial al fijar fechas.</t>
        </is>
      </c>
    </row>
    <row r="64" ht="66" customHeight="1">
      <c r="A64" s="16" t="inlineStr">
        <is>
          <t>JP-063</t>
        </is>
      </c>
      <c r="B64" s="16" t="inlineStr">
        <is>
          <t>Kioto</t>
        </is>
      </c>
      <c r="C64" s="16" t="inlineStr">
        <is>
          <t>Kansai</t>
        </is>
      </c>
      <c r="D64" s="16" t="inlineStr">
        <is>
          <t>Kioto</t>
        </is>
      </c>
      <c r="E64" s="16" t="inlineStr">
        <is>
          <t>Kyoto</t>
        </is>
      </c>
      <c r="F64" s="16" t="inlineStr">
        <is>
          <t>Sakyo</t>
        </is>
      </c>
      <c r="G64" s="16" t="inlineStr">
        <is>
          <t>Okazaki–Philosopher</t>
        </is>
      </c>
      <c r="H64" s="16" t="inlineStr">
        <is>
          <t>Philosopher's Path</t>
        </is>
      </c>
      <c r="I64" s="16" t="inlineStr">
        <is>
          <t>哲学の道</t>
        </is>
      </c>
      <c r="J64" s="16" t="inlineStr">
        <is>
          <t>Philosopher's Path</t>
        </is>
      </c>
      <c r="K64" s="16" t="inlineStr">
        <is>
          <t>🌸 Jardines y paisajes</t>
        </is>
      </c>
      <c r="L64" s="16" t="inlineStr">
        <is>
          <t>paseo</t>
        </is>
      </c>
      <c r="M64" s="16" t="inlineStr">
        <is>
          <t>B</t>
        </is>
      </c>
      <c r="N64" s="16" t="inlineStr">
        <is>
          <t>Agradable con floración; fuera de temporada puede sentirse ordinario.</t>
        </is>
      </c>
      <c r="O64" s="16" t="inlineStr">
        <is>
          <t>Sendero junto a un canal entre Nanzen-ji y Ginkaku-ji.</t>
        </is>
      </c>
      <c r="P64" s="16" t="inlineStr">
        <is>
          <t>Conecta templos menores y vida residencial a ritmo lento.</t>
        </is>
      </c>
      <c r="Q64" s="16" t="inlineStr">
        <is>
          <t>Sendero junto a un canal entre Nanzen-ji y Ginkaku-ji.</t>
        </is>
      </c>
      <c r="R64" s="16" t="inlineStr">
        <is>
          <t>1–2 h</t>
        </is>
      </c>
      <c r="S64" s="16" t="inlineStr">
        <is>
          <t>Mañana</t>
        </is>
      </c>
      <c r="T64" s="16" t="inlineStr">
        <is>
          <t>Sakura y otoño</t>
        </is>
      </c>
      <c r="U64" s="16" t="inlineStr">
        <is>
          <t>Extremo</t>
        </is>
      </c>
      <c r="V64" s="16" t="inlineStr">
        <is>
          <t>Alto</t>
        </is>
      </c>
      <c r="W64" s="89" t="n">
        <v>0</v>
      </c>
      <c r="X64" s="89" t="n">
        <v>0</v>
      </c>
      <c r="Y64" s="89">
        <f>W64*'Configuración'!$B$4</f>
        <v/>
      </c>
      <c r="Z64" s="89">
        <f>X64*'Configuración'!$B$4</f>
        <v/>
      </c>
      <c r="AA64" s="16" t="inlineStr">
        <is>
          <t>No</t>
        </is>
      </c>
      <c r="AB64" s="16" t="inlineStr">
        <is>
          <t>—</t>
        </is>
      </c>
      <c r="AC64" s="16" t="inlineStr">
        <is>
          <t>Espacio público 24 h</t>
        </is>
      </c>
      <c r="AD64" s="16" t="inlineStr">
        <is>
          <t>Sin cierre</t>
        </is>
      </c>
      <c r="AE64" s="16" t="inlineStr">
        <is>
          <t>Ginkakuji-mae / Keage</t>
        </is>
      </c>
      <c r="AF64" s="16" t="inlineStr">
        <is>
          <t>Buena en áreas principales; confirmar detalles con el recinto</t>
        </is>
      </c>
      <c r="AG64" s="90" t="n">
        <v>35.0268</v>
      </c>
      <c r="AH64" s="90" t="n">
        <v>135.7982</v>
      </c>
      <c r="AI64" s="16" t="inlineStr">
        <is>
          <t>https://kyoto.travel/en/</t>
        </is>
      </c>
      <c r="AJ64" s="16" t="inlineStr">
        <is>
          <t>Cambiante</t>
        </is>
      </c>
      <c r="AK64" s="16" t="inlineStr">
        <is>
          <t>SEASONAL</t>
        </is>
      </c>
      <c r="AL64" s="16" t="inlineStr">
        <is>
          <t>pareja, caminar, fotografía</t>
        </is>
      </c>
      <c r="AM64" s="91" t="n">
        <v>4</v>
      </c>
      <c r="AN64" s="91" t="n">
        <v>3</v>
      </c>
      <c r="AO64" s="91" t="n">
        <v>3</v>
      </c>
      <c r="AP64" s="91" t="n">
        <v>4</v>
      </c>
      <c r="AQ64" s="16" t="inlineStr">
        <is>
          <t>Imagen ideal: conecta templos menores y vida residencial a ritmo lento. con luz de mañana, sin multitudes dominando el encuadre.</t>
        </is>
      </c>
      <c r="AR64" s="16" t="inlineStr">
        <is>
          <t>Ginkaku-ji (~3 min a pie) | Hōnen-in (~7 min a pie) | Eikan-dō (~20 min a pie)</t>
        </is>
      </c>
      <c r="AS64" s="16" t="inlineStr">
        <is>
          <t>Popular / turístico</t>
        </is>
      </c>
      <c r="AT64" s="16" t="str"/>
      <c r="AU64" s="16" t="inlineStr">
        <is>
          <t>https://www.google.com/maps/search/?api=1&amp;query=Philosopher's%20Path%2C%20Kyoto%2C%20Japan</t>
        </is>
      </c>
      <c r="AV64" s="16" t="inlineStr">
        <is>
          <t>2026-09-01</t>
        </is>
      </c>
      <c r="AW64" s="16" t="inlineStr">
        <is>
          <t>ABIERTO; FLORACIÓN NO GARANTIZADA</t>
        </is>
      </c>
      <c r="AX64" s="16" t="inlineStr">
        <is>
          <t>En Japón central la floración plena suele ser más tardía; finales de marzo es incierto.</t>
        </is>
      </c>
      <c r="AY64" s="16" t="inlineStr">
        <is>
          <t>No basar la visita en sakura hasta el pronóstico 2027.</t>
        </is>
      </c>
    </row>
    <row r="65" ht="66" customHeight="1">
      <c r="A65" s="16" t="inlineStr">
        <is>
          <t>JP-064</t>
        </is>
      </c>
      <c r="B65" s="16" t="inlineStr">
        <is>
          <t>Kioto</t>
        </is>
      </c>
      <c r="C65" s="16" t="inlineStr">
        <is>
          <t>Kansai</t>
        </is>
      </c>
      <c r="D65" s="16" t="inlineStr">
        <is>
          <t>Kioto</t>
        </is>
      </c>
      <c r="E65" s="16" t="inlineStr">
        <is>
          <t>Kyoto</t>
        </is>
      </c>
      <c r="F65" s="16" t="inlineStr">
        <is>
          <t>Sakyo</t>
        </is>
      </c>
      <c r="G65" s="16" t="inlineStr">
        <is>
          <t>Okazaki–Philosopher</t>
        </is>
      </c>
      <c r="H65" s="16" t="inlineStr">
        <is>
          <t>Hōnen-in</t>
        </is>
      </c>
      <c r="I65" s="16" t="inlineStr">
        <is>
          <t>法然院</t>
        </is>
      </c>
      <c r="J65" s="16" t="inlineStr">
        <is>
          <t>Hōnen-in</t>
        </is>
      </c>
      <c r="K65" s="16" t="inlineStr">
        <is>
          <t>⛩️ Templos y santuarios</t>
        </is>
      </c>
      <c r="L65" s="16" t="inlineStr">
        <is>
          <t>templo</t>
        </is>
      </c>
      <c r="M65" s="16" t="inlineStr">
        <is>
          <t>A</t>
        </is>
      </c>
      <c r="N65" s="16" t="inlineStr">
        <is>
          <t>Pequeño, musgoso y genuinamente tranquilo a metros del eje turístico.</t>
        </is>
      </c>
      <c r="O65" s="16" t="inlineStr">
        <is>
          <t>Puerta de paja, montículos de arena y bosque en la ladera.</t>
        </is>
      </c>
      <c r="P65" s="16" t="inlineStr">
        <is>
          <t>Su atmósfera depende del silencio, no de una gran obra icónica.</t>
        </is>
      </c>
      <c r="Q65" s="16" t="inlineStr">
        <is>
          <t>Puerta de paja, montículos de arena y bosque en la ladera.</t>
        </is>
      </c>
      <c r="R65" s="16" t="inlineStr">
        <is>
          <t>30–60 min</t>
        </is>
      </c>
      <c r="S65" s="16" t="inlineStr">
        <is>
          <t>Mañana</t>
        </is>
      </c>
      <c r="T65" s="16" t="inlineStr">
        <is>
          <t>Primavera y otoño</t>
        </is>
      </c>
      <c r="U65" s="16" t="inlineStr">
        <is>
          <t>Bajo</t>
        </is>
      </c>
      <c r="V65" s="16" t="inlineStr">
        <is>
          <t>Bajo</t>
        </is>
      </c>
      <c r="W65" s="89" t="n">
        <v>0</v>
      </c>
      <c r="X65" s="89" t="n">
        <v>0</v>
      </c>
      <c r="Y65" s="89">
        <f>W65*'Configuración'!$B$4</f>
        <v/>
      </c>
      <c r="Z65" s="89">
        <f>X65*'Configuración'!$B$4</f>
        <v/>
      </c>
      <c r="AA65" s="16" t="inlineStr">
        <is>
          <t>No</t>
        </is>
      </c>
      <c r="AB65" s="16" t="inlineStr">
        <is>
          <t>—</t>
        </is>
      </c>
      <c r="AC65" s="16" t="inlineStr">
        <is>
          <t>06:00–16:00 aprox.; interiores especiales</t>
        </is>
      </c>
      <c r="AD65" s="16" t="inlineStr">
        <is>
          <t>Interiores limitados</t>
        </is>
      </c>
      <c r="AE65" s="16" t="inlineStr">
        <is>
          <t>Bus Ginkakuji-mae + paseo</t>
        </is>
      </c>
      <c r="AF65" s="16" t="inlineStr">
        <is>
          <t>Parcial; pueden existir escalones, grava o edificios sin elevador</t>
        </is>
      </c>
      <c r="AG65" s="90" t="n">
        <v>35.0222</v>
      </c>
      <c r="AH65" s="90" t="n">
        <v>135.7985</v>
      </c>
      <c r="AI65" s="16" t="inlineStr">
        <is>
          <t>https://kyoto.travel/en/</t>
        </is>
      </c>
      <c r="AJ65" s="16" t="inlineStr">
        <is>
          <t>Cambiante</t>
        </is>
      </c>
      <c r="AK65" s="16" t="inlineStr">
        <is>
          <t>HIDDEN GEM</t>
        </is>
      </c>
      <c r="AL65" s="16" t="inlineStr">
        <is>
          <t>pareja, cultura, fotografía</t>
        </is>
      </c>
      <c r="AM65" s="91" t="n">
        <v>4</v>
      </c>
      <c r="AN65" s="91" t="n">
        <v>5</v>
      </c>
      <c r="AO65" s="91" t="n">
        <v>5</v>
      </c>
      <c r="AP65" s="91" t="n">
        <v>1</v>
      </c>
      <c r="AQ65" s="16" t="inlineStr">
        <is>
          <t>Imagen ideal: su atmósfera depende del silencio, no de una gran obra icónica. con luz de mañana, sin multitudes dominando el encuadre.</t>
        </is>
      </c>
      <c r="AR65" s="16" t="inlineStr">
        <is>
          <t>Philosopher's Path (~7 min a pie) | Ginkaku-ji (~7 min a pie) | Eikan-dō (~13 min a pie)</t>
        </is>
      </c>
      <c r="AS65" s="16" t="inlineStr">
        <is>
          <t>Hidden Gem real</t>
        </is>
      </c>
      <c r="AT65" s="16" t="str"/>
      <c r="AU65" s="16" t="inlineStr">
        <is>
          <t>https://www.google.com/maps/search/?api=1&amp;query=H%C5%8Dnen-in%2C%20Kyoto%2C%20Japan</t>
        </is>
      </c>
      <c r="AV65" s="16" t="inlineStr">
        <is>
          <t>2026-09-01</t>
        </is>
      </c>
      <c r="AW65" s="16" t="inlineStr">
        <is>
          <t>CALENDARIO / CONDICIÓN PENDIENTE</t>
        </is>
      </c>
      <c r="AX65" s="16" t="inlineStr">
        <is>
          <t>No hay cierre específico confirmado para la ventana, pero horarios o acceso pueden variar.</t>
        </is>
      </c>
      <c r="AY65" s="16" t="inlineStr">
        <is>
          <t>Reconfirmar en la web oficial al fijar fechas.</t>
        </is>
      </c>
    </row>
    <row r="66" ht="66" customHeight="1">
      <c r="A66" s="16" t="inlineStr">
        <is>
          <t>JP-065</t>
        </is>
      </c>
      <c r="B66" s="16" t="inlineStr">
        <is>
          <t>Kioto</t>
        </is>
      </c>
      <c r="C66" s="16" t="inlineStr">
        <is>
          <t>Kansai</t>
        </is>
      </c>
      <c r="D66" s="16" t="inlineStr">
        <is>
          <t>Kioto</t>
        </is>
      </c>
      <c r="E66" s="16" t="inlineStr">
        <is>
          <t>Kyoto</t>
        </is>
      </c>
      <c r="F66" s="16" t="inlineStr">
        <is>
          <t>Higashiyama</t>
        </is>
      </c>
      <c r="G66" s="16" t="inlineStr">
        <is>
          <t>Okazaki–Philosopher</t>
        </is>
      </c>
      <c r="H66" s="16" t="inlineStr">
        <is>
          <t>Ginkaku-ji</t>
        </is>
      </c>
      <c r="I66" s="16" t="inlineStr">
        <is>
          <t>銀閣寺</t>
        </is>
      </c>
      <c r="J66" s="16" t="inlineStr">
        <is>
          <t>Ginkaku-ji</t>
        </is>
      </c>
      <c r="K66" s="16" t="inlineStr">
        <is>
          <t>⛩️ Templos y santuarios</t>
        </is>
      </c>
      <c r="L66" s="16" t="inlineStr">
        <is>
          <t>templo/jardín</t>
        </is>
      </c>
      <c r="M66" s="16" t="inlineStr">
        <is>
          <t>A</t>
        </is>
      </c>
      <c r="N66" s="16" t="inlineStr">
        <is>
          <t>El jardín y sendero de ladera son más valiosos que el pabellón en sí.</t>
        </is>
      </c>
      <c r="O66" s="16" t="inlineStr">
        <is>
          <t>Templo zen con jardín seco, musgo y vista elevada.</t>
        </is>
      </c>
      <c r="P66" s="16" t="inlineStr">
        <is>
          <t>Su belleza es sobria y paisajística, opuesta al brillo de Kinkaku-ji.</t>
        </is>
      </c>
      <c r="Q66" s="16" t="inlineStr">
        <is>
          <t>Templo zen con jardín seco, musgo y vista elevada.</t>
        </is>
      </c>
      <c r="R66" s="16" t="inlineStr">
        <is>
          <t>1–1.5 h</t>
        </is>
      </c>
      <c r="S66" s="16" t="inlineStr">
        <is>
          <t>Mañana</t>
        </is>
      </c>
      <c r="T66" s="16" t="inlineStr">
        <is>
          <t>Todo el año</t>
        </is>
      </c>
      <c r="U66" s="16" t="inlineStr">
        <is>
          <t>Extremo</t>
        </is>
      </c>
      <c r="V66" s="16" t="inlineStr">
        <is>
          <t>Extremo</t>
        </is>
      </c>
      <c r="W66" s="89" t="n">
        <v>500</v>
      </c>
      <c r="X66" s="89" t="n">
        <v>500</v>
      </c>
      <c r="Y66" s="89">
        <f>W66*'Configuración'!$B$4</f>
        <v/>
      </c>
      <c r="Z66" s="89">
        <f>X66*'Configuración'!$B$4</f>
        <v/>
      </c>
      <c r="AA66" s="16" t="inlineStr">
        <is>
          <t>No</t>
        </is>
      </c>
      <c r="AB66" s="16" t="inlineStr">
        <is>
          <t>—</t>
        </is>
      </c>
      <c r="AC66" s="16" t="inlineStr">
        <is>
          <t>08:30–17:00 aprox.</t>
        </is>
      </c>
      <c r="AD66" s="16" t="inlineStr">
        <is>
          <t>Sin cierre ordinario</t>
        </is>
      </c>
      <c r="AE66" s="16" t="inlineStr">
        <is>
          <t>Bus Ginkakuji-mae</t>
        </is>
      </c>
      <c r="AF66" s="16" t="inlineStr">
        <is>
          <t>Parcial; pueden existir escalones, grava o edificios sin elevador</t>
        </is>
      </c>
      <c r="AG66" s="90" t="n">
        <v>35.027</v>
      </c>
      <c r="AH66" s="90" t="n">
        <v>135.7982</v>
      </c>
      <c r="AI66" s="16" t="inlineStr">
        <is>
          <t>https://www.shokoku-ji.jp/en/ginkakuji/</t>
        </is>
      </c>
      <c r="AJ66" s="16" t="inlineStr">
        <is>
          <t>Cambiante</t>
        </is>
      </c>
      <c r="AK66" s="16" t="inlineStr">
        <is>
          <t>CLASSIC</t>
        </is>
      </c>
      <c r="AL66" s="16" t="inlineStr">
        <is>
          <t>jardines, cultura, fotografía</t>
        </is>
      </c>
      <c r="AM66" s="91" t="n">
        <v>5</v>
      </c>
      <c r="AN66" s="91" t="n">
        <v>4</v>
      </c>
      <c r="AO66" s="91" t="n">
        <v>4</v>
      </c>
      <c r="AP66" s="91" t="n">
        <v>5</v>
      </c>
      <c r="AQ66" s="16" t="inlineStr">
        <is>
          <t>Imagen ideal: su belleza es sobria y paisajística, opuesta al brillo de kinkaku-ji. con luz de mañana, sin multitudes dominando el encuadre.</t>
        </is>
      </c>
      <c r="AR66" s="16" t="inlineStr">
        <is>
          <t>Philosopher's Path (~3 min a pie) | Hōnen-in (~7 min a pie) | Eikan-dō (~20 min a pie)</t>
        </is>
      </c>
      <c r="AS66" s="16" t="inlineStr">
        <is>
          <t>Popular / turístico</t>
        </is>
      </c>
      <c r="AT66" s="16" t="str"/>
      <c r="AU66" s="16" t="inlineStr">
        <is>
          <t>https://www.google.com/maps/search/?api=1&amp;query=Ginkaku-ji%2C%20Kyoto%2C%20Japan</t>
        </is>
      </c>
      <c r="AV66" s="16" t="inlineStr">
        <is>
          <t>2026-09-01</t>
        </is>
      </c>
      <c r="AW66" s="16" t="inlineStr">
        <is>
          <t>CALENDARIO / CONDICIÓN PENDIENTE</t>
        </is>
      </c>
      <c r="AX66" s="16" t="inlineStr">
        <is>
          <t>No hay cierre específico confirmado para la ventana, pero horarios o acceso pueden variar.</t>
        </is>
      </c>
      <c r="AY66" s="16" t="inlineStr">
        <is>
          <t>Reconfirmar en la web oficial al fijar fechas.</t>
        </is>
      </c>
    </row>
    <row r="67" ht="66" customHeight="1">
      <c r="A67" s="16" t="inlineStr">
        <is>
          <t>JP-066</t>
        </is>
      </c>
      <c r="B67" s="16" t="inlineStr">
        <is>
          <t>Kioto</t>
        </is>
      </c>
      <c r="C67" s="16" t="inlineStr">
        <is>
          <t>Kansai</t>
        </is>
      </c>
      <c r="D67" s="16" t="inlineStr">
        <is>
          <t>Kioto</t>
        </is>
      </c>
      <c r="E67" s="16" t="inlineStr">
        <is>
          <t>Kyoto</t>
        </is>
      </c>
      <c r="F67" s="16" t="inlineStr">
        <is>
          <t>Fushimi</t>
        </is>
      </c>
      <c r="G67" s="16" t="inlineStr">
        <is>
          <t>Fushimi Inari</t>
        </is>
      </c>
      <c r="H67" s="16" t="inlineStr">
        <is>
          <t>Fushimi Inari Taisha</t>
        </is>
      </c>
      <c r="I67" s="16" t="inlineStr">
        <is>
          <t>伏見稲荷大社</t>
        </is>
      </c>
      <c r="J67" s="16" t="inlineStr">
        <is>
          <t>Fushimi Inari Taisha</t>
        </is>
      </c>
      <c r="K67" s="16" t="inlineStr">
        <is>
          <t>⛩️ Templos y santuarios</t>
        </is>
      </c>
      <c r="L67" s="16" t="inlineStr">
        <is>
          <t>santuario/sendero</t>
        </is>
      </c>
      <c r="M67" s="16" t="inlineStr">
        <is>
          <t>S</t>
        </is>
      </c>
      <c r="N67" s="16" t="inlineStr">
        <is>
          <t>La montaña completa y los miles de torii siguen siendo irrepetibles; no limitarse a la entrada.</t>
        </is>
      </c>
      <c r="O67" s="16" t="inlineStr">
        <is>
          <t>Santuario principal de Inari con red de senderos y sub-santuarios.</t>
        </is>
      </c>
      <c r="P67" s="16" t="inlineStr">
        <is>
          <t>La experiencia se vuelve más espiritual y vacía después de los primeros tramos.</t>
        </is>
      </c>
      <c r="Q67" s="16" t="inlineStr">
        <is>
          <t>Santuario principal de Inari con red de senderos y sub-santuarios.</t>
        </is>
      </c>
      <c r="R67" s="16" t="inlineStr">
        <is>
          <t>2–4 h</t>
        </is>
      </c>
      <c r="S67" s="16" t="inlineStr">
        <is>
          <t>Mañana</t>
        </is>
      </c>
      <c r="T67" s="16" t="inlineStr">
        <is>
          <t>Todo el año</t>
        </is>
      </c>
      <c r="U67" s="16" t="inlineStr">
        <is>
          <t>Extremo</t>
        </is>
      </c>
      <c r="V67" s="16" t="inlineStr">
        <is>
          <t>Extremo</t>
        </is>
      </c>
      <c r="W67" s="89" t="n">
        <v>0</v>
      </c>
      <c r="X67" s="89" t="n">
        <v>0</v>
      </c>
      <c r="Y67" s="89">
        <f>W67*'Configuración'!$B$4</f>
        <v/>
      </c>
      <c r="Z67" s="89">
        <f>X67*'Configuración'!$B$4</f>
        <v/>
      </c>
      <c r="AA67" s="16" t="inlineStr">
        <is>
          <t>No</t>
        </is>
      </c>
      <c r="AB67" s="16" t="inlineStr">
        <is>
          <t>—</t>
        </is>
      </c>
      <c r="AC67" s="16" t="inlineStr">
        <is>
          <t>Montaña 24 h; oficinas diurnas</t>
        </is>
      </c>
      <c r="AD67" s="16" t="inlineStr">
        <is>
          <t>Sin cierre ordinario</t>
        </is>
      </c>
      <c r="AE67" s="16" t="inlineStr">
        <is>
          <t>JR Inari / Keihan Fushimi-Inari</t>
        </is>
      </c>
      <c r="AF67" s="16" t="inlineStr">
        <is>
          <t>Parcial o baja; terreno irregular y condiciones naturales</t>
        </is>
      </c>
      <c r="AG67" s="90" t="n">
        <v>34.9671</v>
      </c>
      <c r="AH67" s="90" t="n">
        <v>135.7727</v>
      </c>
      <c r="AI67" s="16" t="inlineStr">
        <is>
          <t>http://inari.jp/en/</t>
        </is>
      </c>
      <c r="AJ67" s="16" t="inlineStr">
        <is>
          <t>Cambiante</t>
        </is>
      </c>
      <c r="AK67" s="16" t="inlineStr">
        <is>
          <t>MUST SEE</t>
        </is>
      </c>
      <c r="AL67" s="16" t="inlineStr">
        <is>
          <t>cultura, senderismo, fotografía</t>
        </is>
      </c>
      <c r="AM67" s="91" t="n">
        <v>5</v>
      </c>
      <c r="AN67" s="91" t="n">
        <v>5</v>
      </c>
      <c r="AO67" s="91" t="n">
        <v>5</v>
      </c>
      <c r="AP67" s="91" t="n">
        <v>5</v>
      </c>
      <c r="AQ67" s="16" t="inlineStr">
        <is>
          <t>Imagen ideal: la experiencia se vuelve más espiritual y vacía después de los primeros tramos. con luz de mañana, sin multitudes dominando el encuadre.</t>
        </is>
      </c>
      <c r="AR67" s="16" t="inlineStr">
        <is>
          <t>Tōfuku-ji (~15 min a pie) | teamLab Biovortex Kyoto (~20 min a pie) | Sanjūsangen-dō (~32 min en transporte)</t>
        </is>
      </c>
      <c r="AS67" s="16" t="inlineStr">
        <is>
          <t>Popular / turístico</t>
        </is>
      </c>
      <c r="AT67" s="16" t="str"/>
      <c r="AU67" s="16" t="inlineStr">
        <is>
          <t>https://www.google.com/maps/search/?api=1&amp;query=Fushimi%20Inari%20Taisha%2C%20Kyoto%2C%20Japan</t>
        </is>
      </c>
      <c r="AV67" s="16" t="inlineStr">
        <is>
          <t>2026-09-01</t>
        </is>
      </c>
      <c r="AW67" s="16" t="inlineStr">
        <is>
          <t>RIESGO ESTACIONAL</t>
        </is>
      </c>
      <c r="AX67" s="16" t="inlineStr">
        <is>
          <t>Posibles nieve, hielo, barro, viento, cierres y menos horas de luz.</t>
        </is>
      </c>
      <c r="AY67" s="16" t="inlineStr">
        <is>
          <t>Revisar clima, sendero y último transporte 24–48 h antes.</t>
        </is>
      </c>
    </row>
    <row r="68" ht="66" customHeight="1">
      <c r="A68" s="16" t="inlineStr">
        <is>
          <t>JP-067</t>
        </is>
      </c>
      <c r="B68" s="16" t="inlineStr">
        <is>
          <t>Kioto</t>
        </is>
      </c>
      <c r="C68" s="16" t="inlineStr">
        <is>
          <t>Kansai</t>
        </is>
      </c>
      <c r="D68" s="16" t="inlineStr">
        <is>
          <t>Kioto</t>
        </is>
      </c>
      <c r="E68" s="16" t="inlineStr">
        <is>
          <t>Kyoto</t>
        </is>
      </c>
      <c r="F68" s="16" t="inlineStr">
        <is>
          <t>Higashiyama</t>
        </is>
      </c>
      <c r="G68" s="16" t="inlineStr">
        <is>
          <t>Fushimi–South</t>
        </is>
      </c>
      <c r="H68" s="16" t="inlineStr">
        <is>
          <t>Tōfuku-ji</t>
        </is>
      </c>
      <c r="I68" s="16" t="inlineStr">
        <is>
          <t>東福寺</t>
        </is>
      </c>
      <c r="J68" s="16" t="inlineStr">
        <is>
          <t>Tōfuku-ji</t>
        </is>
      </c>
      <c r="K68" s="16" t="inlineStr">
        <is>
          <t>⛩️ Templos y santuarios</t>
        </is>
      </c>
      <c r="L68" s="16" t="inlineStr">
        <is>
          <t>templo zen</t>
        </is>
      </c>
      <c r="M68" s="16" t="inlineStr">
        <is>
          <t>A</t>
        </is>
      </c>
      <c r="N68" s="16" t="inlineStr">
        <is>
          <t>Gran arquitectura zen y jardín moderno; en otoño puede ser tan saturado como los iconos.</t>
        </is>
      </c>
      <c r="O68" s="16" t="inlineStr">
        <is>
          <t>Complejo monástico con puente Tsutenkyo y jardines de Mirei Shigemori.</t>
        </is>
      </c>
      <c r="P68" s="16" t="inlineStr">
        <is>
          <t>Geometría moderna dentro de un recinto medieval.</t>
        </is>
      </c>
      <c r="Q68" s="16" t="inlineStr">
        <is>
          <t>Complejo monástico con puente Tsutenkyo y jardines de Mirei Shigemori.</t>
        </is>
      </c>
      <c r="R68" s="16" t="inlineStr">
        <is>
          <t>1.5–2.5 h</t>
        </is>
      </c>
      <c r="S68" s="16" t="inlineStr">
        <is>
          <t>Mañana</t>
        </is>
      </c>
      <c r="T68" s="16" t="inlineStr">
        <is>
          <t>Otoño; mejor fuera del pico</t>
        </is>
      </c>
      <c r="U68" s="16" t="inlineStr">
        <is>
          <t>Alto</t>
        </is>
      </c>
      <c r="V68" s="16" t="inlineStr">
        <is>
          <t>Alto</t>
        </is>
      </c>
      <c r="W68" s="89" t="n">
        <v>600</v>
      </c>
      <c r="X68" s="89" t="n">
        <v>1600</v>
      </c>
      <c r="Y68" s="89">
        <f>W68*'Configuración'!$B$4</f>
        <v/>
      </c>
      <c r="Z68" s="89">
        <f>X68*'Configuración'!$B$4</f>
        <v/>
      </c>
      <c r="AA68" s="16" t="inlineStr">
        <is>
          <t>No</t>
        </is>
      </c>
      <c r="AB68" s="16" t="inlineStr">
        <is>
          <t>—</t>
        </is>
      </c>
      <c r="AC68" s="16" t="inlineStr">
        <is>
          <t>09:00–16:00/16:30</t>
        </is>
      </c>
      <c r="AD68" s="16" t="inlineStr">
        <is>
          <t>Sin cierre ordinario</t>
        </is>
      </c>
      <c r="AE68" s="16" t="inlineStr">
        <is>
          <t>JR/Keihan Tofukuji</t>
        </is>
      </c>
      <c r="AF68" s="16" t="inlineStr">
        <is>
          <t>Parcial; pueden existir escalones, grava o edificios sin elevador</t>
        </is>
      </c>
      <c r="AG68" s="90" t="n">
        <v>34.9767</v>
      </c>
      <c r="AH68" s="90" t="n">
        <v>135.7744</v>
      </c>
      <c r="AI68" s="16" t="inlineStr">
        <is>
          <t>https://tofukuji.jp/english/</t>
        </is>
      </c>
      <c r="AJ68" s="16" t="inlineStr">
        <is>
          <t>Cambiante</t>
        </is>
      </c>
      <c r="AK68" s="16" t="inlineStr">
        <is>
          <t>CULTURE</t>
        </is>
      </c>
      <c r="AL68" s="16" t="inlineStr">
        <is>
          <t>arquitectura, jardines, fotografía</t>
        </is>
      </c>
      <c r="AM68" s="91" t="n">
        <v>5</v>
      </c>
      <c r="AN68" s="91" t="n">
        <v>5</v>
      </c>
      <c r="AO68" s="91" t="n">
        <v>5</v>
      </c>
      <c r="AP68" s="91" t="n">
        <v>4</v>
      </c>
      <c r="AQ68" s="16" t="inlineStr">
        <is>
          <t>Imagen ideal: geometría moderna dentro de un recinto medieval. con luz de mañana, sin multitudes dominando el encuadre.</t>
        </is>
      </c>
      <c r="AR68" s="16" t="inlineStr">
        <is>
          <t>teamLab Biovortex Kyoto (~8 min a pie) | Fushimi Inari Taisha (~15 min a pie) | Sanjūsangen-dō (~18 min a pie)</t>
        </is>
      </c>
      <c r="AS68" s="16" t="inlineStr">
        <is>
          <t>Popular / turístico</t>
        </is>
      </c>
      <c r="AT68" s="16" t="str"/>
      <c r="AU68" s="16" t="inlineStr">
        <is>
          <t>https://www.google.com/maps/search/?api=1&amp;query=T%C5%8Dfuku-ji%2C%20Kyoto%2C%20Japan</t>
        </is>
      </c>
      <c r="AV68" s="16" t="inlineStr">
        <is>
          <t>2026-09-01</t>
        </is>
      </c>
      <c r="AW68" s="16" t="inlineStr">
        <is>
          <t>CALENDARIO / CONDICIÓN PENDIENTE</t>
        </is>
      </c>
      <c r="AX68" s="16" t="inlineStr">
        <is>
          <t>No hay cierre específico confirmado para la ventana, pero horarios o acceso pueden variar.</t>
        </is>
      </c>
      <c r="AY68" s="16" t="inlineStr">
        <is>
          <t>Reconfirmar en la web oficial al fijar fechas.</t>
        </is>
      </c>
    </row>
    <row r="69" ht="66" customHeight="1">
      <c r="A69" s="16" t="inlineStr">
        <is>
          <t>JP-068</t>
        </is>
      </c>
      <c r="B69" s="16" t="inlineStr">
        <is>
          <t>Kioto</t>
        </is>
      </c>
      <c r="C69" s="16" t="inlineStr">
        <is>
          <t>Kansai</t>
        </is>
      </c>
      <c r="D69" s="16" t="inlineStr">
        <is>
          <t>Kioto</t>
        </is>
      </c>
      <c r="E69" s="16" t="inlineStr">
        <is>
          <t>Kyoto</t>
        </is>
      </c>
      <c r="F69" s="16" t="inlineStr">
        <is>
          <t>Fushimi</t>
        </is>
      </c>
      <c r="G69" s="16" t="inlineStr">
        <is>
          <t>Fushimi–South</t>
        </is>
      </c>
      <c r="H69" s="16" t="inlineStr">
        <is>
          <t>Fushimi Sake District</t>
        </is>
      </c>
      <c r="I69" s="16" t="inlineStr">
        <is>
          <t>伏見酒蔵の町並み</t>
        </is>
      </c>
      <c r="J69" s="16" t="inlineStr">
        <is>
          <t>Fushimi Sake District</t>
        </is>
      </c>
      <c r="K69" s="16" t="inlineStr">
        <is>
          <t>🍶 Gastronomía</t>
        </is>
      </c>
      <c r="L69" s="16" t="inlineStr">
        <is>
          <t>barrio/experiencia</t>
        </is>
      </c>
      <c r="M69" s="16" t="inlineStr">
        <is>
          <t>A</t>
        </is>
      </c>
      <c r="N69" s="16" t="inlineStr">
        <is>
          <t>Excelente contrapunto gastronómico y urbano a los templos.</t>
        </is>
      </c>
      <c r="O69" s="16" t="inlineStr">
        <is>
          <t>Canales, almacenes de sake, degustaciones y pequeños museos.</t>
        </is>
      </c>
      <c r="P69" s="16" t="inlineStr">
        <is>
          <t>La identidad de Fushimi se entiende a través del agua y la producción.</t>
        </is>
      </c>
      <c r="Q69" s="16" t="inlineStr">
        <is>
          <t>Canales, almacenes de sake, degustaciones y pequeños museos.</t>
        </is>
      </c>
      <c r="R69" s="16" t="inlineStr">
        <is>
          <t>2–4 h</t>
        </is>
      </c>
      <c r="S69" s="16" t="inlineStr">
        <is>
          <t>Tarde</t>
        </is>
      </c>
      <c r="T69" s="16" t="inlineStr">
        <is>
          <t>Todo el año</t>
        </is>
      </c>
      <c r="U69" s="16" t="inlineStr">
        <is>
          <t>Medio</t>
        </is>
      </c>
      <c r="V69" s="16" t="inlineStr">
        <is>
          <t>Medio</t>
        </is>
      </c>
      <c r="W69" s="89" t="n">
        <v>0</v>
      </c>
      <c r="X69" s="89" t="n">
        <v>3000</v>
      </c>
      <c r="Y69" s="89">
        <f>W69*'Configuración'!$B$4</f>
        <v/>
      </c>
      <c r="Z69" s="89">
        <f>X69*'Configuración'!$B$4</f>
        <v/>
      </c>
      <c r="AA69" s="16" t="inlineStr">
        <is>
          <t>Recomendable</t>
        </is>
      </c>
      <c r="AB69" s="16" t="inlineStr">
        <is>
          <t>Para tour o cata, días</t>
        </is>
      </c>
      <c r="AC69" s="16" t="inlineStr">
        <is>
          <t>Productores variables</t>
        </is>
      </c>
      <c r="AD69" s="16" t="inlineStr">
        <is>
          <t>Según productor</t>
        </is>
      </c>
      <c r="AE69" s="16" t="inlineStr">
        <is>
          <t>Chushojima / Fushimi-Momoyama</t>
        </is>
      </c>
      <c r="AF69" s="16" t="inlineStr">
        <is>
          <t>Buena en áreas principales; confirmar detalles con el recinto</t>
        </is>
      </c>
      <c r="AG69" s="90" t="n">
        <v>34.9328</v>
      </c>
      <c r="AH69" s="90" t="n">
        <v>135.761</v>
      </c>
      <c r="AI69" s="16" t="inlineStr">
        <is>
          <t>https://kyoto.travel/en/areas/fushimi/</t>
        </is>
      </c>
      <c r="AJ69" s="16" t="inlineStr">
        <is>
          <t>Cambiante</t>
        </is>
      </c>
      <c r="AK69" s="16" t="inlineStr">
        <is>
          <t>FOOD / CULTURE</t>
        </is>
      </c>
      <c r="AL69" s="16" t="inlineStr">
        <is>
          <t>pareja, comida, cultura, fotografía</t>
        </is>
      </c>
      <c r="AM69" s="91" t="n">
        <v>4</v>
      </c>
      <c r="AN69" s="91" t="n">
        <v>5</v>
      </c>
      <c r="AO69" s="91" t="n">
        <v>5</v>
      </c>
      <c r="AP69" s="91" t="n">
        <v>2</v>
      </c>
      <c r="AQ69" s="16" t="inlineStr">
        <is>
          <t>Imagen ideal: la identidad de fushimi se entiende a través del agua y la producción. con luz de tarde, sin multitudes dominando el encuadre.</t>
        </is>
      </c>
      <c r="AR69" s="16" t="inlineStr">
        <is>
          <t>Tōfuku-ji (~70 min en transporte)</t>
        </is>
      </c>
      <c r="AS69" s="16" t="inlineStr">
        <is>
          <t>Semi-hidden</t>
        </is>
      </c>
      <c r="AT69" s="16" t="str"/>
      <c r="AU69" s="16" t="inlineStr">
        <is>
          <t>https://www.google.com/maps/search/?api=1&amp;query=Fushimi%20Sake%20District%2C%20Kyoto%2C%20Japan</t>
        </is>
      </c>
      <c r="AV69" s="16" t="inlineStr">
        <is>
          <t>2026-09-01</t>
        </is>
      </c>
      <c r="AW69" s="16" t="inlineStr">
        <is>
          <t>CALENDARIO / CONDICIÓN PENDIENTE</t>
        </is>
      </c>
      <c r="AX69" s="16" t="inlineStr">
        <is>
          <t>No hay cierre específico confirmado para la ventana, pero horarios o acceso pueden variar.</t>
        </is>
      </c>
      <c r="AY69" s="16" t="inlineStr">
        <is>
          <t>Reconfirmar en la web oficial al fijar fechas.</t>
        </is>
      </c>
    </row>
    <row r="70" ht="66" customHeight="1">
      <c r="A70" s="16" t="inlineStr">
        <is>
          <t>JP-069</t>
        </is>
      </c>
      <c r="B70" s="16" t="inlineStr">
        <is>
          <t>Kioto</t>
        </is>
      </c>
      <c r="C70" s="16" t="inlineStr">
        <is>
          <t>Kansai</t>
        </is>
      </c>
      <c r="D70" s="16" t="inlineStr">
        <is>
          <t>Kioto</t>
        </is>
      </c>
      <c r="E70" s="16" t="inlineStr">
        <is>
          <t>Kyoto</t>
        </is>
      </c>
      <c r="F70" s="16" t="inlineStr">
        <is>
          <t>Yamashina</t>
        </is>
      </c>
      <c r="G70" s="16" t="inlineStr">
        <is>
          <t>Yamashina</t>
        </is>
      </c>
      <c r="H70" s="16" t="inlineStr">
        <is>
          <t>Bishamon-dō</t>
        </is>
      </c>
      <c r="I70" s="16" t="inlineStr">
        <is>
          <t>毘沙門堂</t>
        </is>
      </c>
      <c r="J70" s="16" t="inlineStr">
        <is>
          <t>Bishamon-dō</t>
        </is>
      </c>
      <c r="K70" s="16" t="inlineStr">
        <is>
          <t>⛩️ Templos y santuarios</t>
        </is>
      </c>
      <c r="L70" s="16" t="inlineStr">
        <is>
          <t>templo</t>
        </is>
      </c>
      <c r="M70" s="16" t="inlineStr">
        <is>
          <t>A</t>
        </is>
      </c>
      <c r="N70" s="16" t="inlineStr">
        <is>
          <t>Templo estacional excelente con muy poco turismo internacional.</t>
        </is>
      </c>
      <c r="O70" s="16" t="inlineStr">
        <is>
          <t>Templo de montaña con arces, cerezos llorones y pinturas interiores.</t>
        </is>
      </c>
      <c r="P70" s="16" t="inlineStr">
        <is>
          <t>Ofrece gran color y escala íntima sin excursión larga.</t>
        </is>
      </c>
      <c r="Q70" s="16" t="inlineStr">
        <is>
          <t>Templo de montaña con arces, cerezos llorones y pinturas interiores.</t>
        </is>
      </c>
      <c r="R70" s="16" t="inlineStr">
        <is>
          <t>1–1.5 h</t>
        </is>
      </c>
      <c r="S70" s="16" t="inlineStr">
        <is>
          <t>Mañana</t>
        </is>
      </c>
      <c r="T70" s="16" t="inlineStr">
        <is>
          <t>Otoño y primavera</t>
        </is>
      </c>
      <c r="U70" s="16" t="inlineStr">
        <is>
          <t>Medio</t>
        </is>
      </c>
      <c r="V70" s="16" t="inlineStr">
        <is>
          <t>Bajo</t>
        </is>
      </c>
      <c r="W70" s="89" t="n">
        <v>500</v>
      </c>
      <c r="X70" s="89" t="n">
        <v>500</v>
      </c>
      <c r="Y70" s="89">
        <f>W70*'Configuración'!$B$4</f>
        <v/>
      </c>
      <c r="Z70" s="89">
        <f>X70*'Configuración'!$B$4</f>
        <v/>
      </c>
      <c r="AA70" s="16" t="inlineStr">
        <is>
          <t>No</t>
        </is>
      </c>
      <c r="AB70" s="16" t="inlineStr">
        <is>
          <t>—</t>
        </is>
      </c>
      <c r="AC70" s="16" t="inlineStr">
        <is>
          <t>09:00–17:00 aprox.</t>
        </is>
      </c>
      <c r="AD70" s="16" t="inlineStr">
        <is>
          <t>Sin cierre ordinario</t>
        </is>
      </c>
      <c r="AE70" s="16" t="inlineStr">
        <is>
          <t>JR/Metro Yamashina + 20 min</t>
        </is>
      </c>
      <c r="AF70" s="16" t="inlineStr">
        <is>
          <t>Parcial; pueden existir escalones, grava o edificios sin elevador</t>
        </is>
      </c>
      <c r="AG70" s="90" t="n">
        <v>35.0067</v>
      </c>
      <c r="AH70" s="90" t="n">
        <v>135.8176</v>
      </c>
      <c r="AI70" s="16" t="inlineStr">
        <is>
          <t>https://kyoto.travel/en/hidden-gems/yamashina/</t>
        </is>
      </c>
      <c r="AJ70" s="16" t="inlineStr">
        <is>
          <t>Cambiante</t>
        </is>
      </c>
      <c r="AK70" s="16" t="inlineStr">
        <is>
          <t>HIDDEN GEM</t>
        </is>
      </c>
      <c r="AL70" s="16" t="inlineStr">
        <is>
          <t>fotografía, cultura, naturaleza</t>
        </is>
      </c>
      <c r="AM70" s="91" t="n">
        <v>5</v>
      </c>
      <c r="AN70" s="91" t="n">
        <v>5</v>
      </c>
      <c r="AO70" s="91" t="n">
        <v>5</v>
      </c>
      <c r="AP70" s="91" t="n">
        <v>1</v>
      </c>
      <c r="AQ70" s="16" t="inlineStr">
        <is>
          <t>Imagen ideal: ofrece gran color y escala íntima sin excursión larga. con luz de mañana, sin multitudes dominando el encuadre.</t>
        </is>
      </c>
      <c r="AR70" s="16" t="inlineStr">
        <is>
          <t>Yamashina Canal (~5 min a pie) | Nanzen-ji (~30 min en transporte) | Eikan-dō (~32 min en transporte)</t>
        </is>
      </c>
      <c r="AS70" s="16" t="inlineStr">
        <is>
          <t>Hidden Gem real</t>
        </is>
      </c>
      <c r="AT70" s="16" t="str"/>
      <c r="AU70" s="16" t="inlineStr">
        <is>
          <t>https://www.google.com/maps/search/?api=1&amp;query=Bishamon-d%C5%8D%2C%20Kyoto%2C%20Japan</t>
        </is>
      </c>
      <c r="AV70" s="16" t="inlineStr">
        <is>
          <t>2026-09-01</t>
        </is>
      </c>
      <c r="AW70" s="16" t="inlineStr">
        <is>
          <t>CALENDARIO / CONDICIÓN PENDIENTE</t>
        </is>
      </c>
      <c r="AX70" s="16" t="inlineStr">
        <is>
          <t>No hay cierre específico confirmado para la ventana, pero horarios o acceso pueden variar.</t>
        </is>
      </c>
      <c r="AY70" s="16" t="inlineStr">
        <is>
          <t>Reconfirmar en la web oficial al fijar fechas.</t>
        </is>
      </c>
    </row>
    <row r="71" ht="66" customHeight="1">
      <c r="A71" s="16" t="inlineStr">
        <is>
          <t>JP-070</t>
        </is>
      </c>
      <c r="B71" s="16" t="inlineStr">
        <is>
          <t>Kioto</t>
        </is>
      </c>
      <c r="C71" s="16" t="inlineStr">
        <is>
          <t>Kansai</t>
        </is>
      </c>
      <c r="D71" s="16" t="inlineStr">
        <is>
          <t>Kioto</t>
        </is>
      </c>
      <c r="E71" s="16" t="inlineStr">
        <is>
          <t>Kyoto</t>
        </is>
      </c>
      <c r="F71" s="16" t="inlineStr">
        <is>
          <t>Yamashina</t>
        </is>
      </c>
      <c r="G71" s="16" t="inlineStr">
        <is>
          <t>Yamashina</t>
        </is>
      </c>
      <c r="H71" s="16" t="inlineStr">
        <is>
          <t>Yamashina Canal</t>
        </is>
      </c>
      <c r="I71" s="16" t="inlineStr">
        <is>
          <t>山科疏水</t>
        </is>
      </c>
      <c r="J71" s="16" t="inlineStr">
        <is>
          <t>Yamashina Canal</t>
        </is>
      </c>
      <c r="K71" s="16" t="inlineStr">
        <is>
          <t>🌿 Naturaleza</t>
        </is>
      </c>
      <c r="L71" s="16" t="inlineStr">
        <is>
          <t>paseo/canal</t>
        </is>
      </c>
      <c r="M71" s="16" t="inlineStr">
        <is>
          <t>A</t>
        </is>
      </c>
      <c r="N71" s="16" t="inlineStr">
        <is>
          <t>Paseo local sencillo y bello, especialmente en floración.</t>
        </is>
      </c>
      <c r="O71" s="16" t="inlineStr">
        <is>
          <t>Tramo arbolado del canal del lago Biwa con senderos tranquilos.</t>
        </is>
      </c>
      <c r="P71" s="16" t="inlineStr">
        <is>
          <t>Une ingeniería Meiji, paisaje y barrios no turísticos.</t>
        </is>
      </c>
      <c r="Q71" s="16" t="inlineStr">
        <is>
          <t>Tramo arbolado del canal del lago Biwa con senderos tranquilos.</t>
        </is>
      </c>
      <c r="R71" s="16" t="inlineStr">
        <is>
          <t>1.5–3 h</t>
        </is>
      </c>
      <c r="S71" s="16" t="inlineStr">
        <is>
          <t>Mañana</t>
        </is>
      </c>
      <c r="T71" s="16" t="inlineStr">
        <is>
          <t>Sakura y otoño</t>
        </is>
      </c>
      <c r="U71" s="16" t="inlineStr">
        <is>
          <t>Bajo</t>
        </is>
      </c>
      <c r="V71" s="16" t="inlineStr">
        <is>
          <t>Bajo</t>
        </is>
      </c>
      <c r="W71" s="89" t="n">
        <v>0</v>
      </c>
      <c r="X71" s="89" t="n">
        <v>0</v>
      </c>
      <c r="Y71" s="89">
        <f>W71*'Configuración'!$B$4</f>
        <v/>
      </c>
      <c r="Z71" s="89">
        <f>X71*'Configuración'!$B$4</f>
        <v/>
      </c>
      <c r="AA71" s="16" t="inlineStr">
        <is>
          <t>No</t>
        </is>
      </c>
      <c r="AB71" s="16" t="inlineStr">
        <is>
          <t>—</t>
        </is>
      </c>
      <c r="AC71" s="16" t="inlineStr">
        <is>
          <t>Espacio público 24 h</t>
        </is>
      </c>
      <c r="AD71" s="16" t="inlineStr">
        <is>
          <t>Sin cierre</t>
        </is>
      </c>
      <c r="AE71" s="16" t="inlineStr">
        <is>
          <t>JR/Metro Yamashina</t>
        </is>
      </c>
      <c r="AF71" s="16" t="inlineStr">
        <is>
          <t>Buena en áreas principales; confirmar detalles con el recinto</t>
        </is>
      </c>
      <c r="AG71" s="90" t="n">
        <v>35.008</v>
      </c>
      <c r="AH71" s="90" t="n">
        <v>135.814</v>
      </c>
      <c r="AI71" s="16" t="inlineStr">
        <is>
          <t>https://kyoto.travel/en/hidden-gems/yamashina/</t>
        </is>
      </c>
      <c r="AJ71" s="16" t="inlineStr">
        <is>
          <t>Cambiante</t>
        </is>
      </c>
      <c r="AK71" s="16" t="inlineStr">
        <is>
          <t>HIDDEN GEM</t>
        </is>
      </c>
      <c r="AL71" s="16" t="inlineStr">
        <is>
          <t>pareja, caminar, naturaleza, fotografía</t>
        </is>
      </c>
      <c r="AM71" s="91" t="n">
        <v>4</v>
      </c>
      <c r="AN71" s="91" t="n">
        <v>5</v>
      </c>
      <c r="AO71" s="91" t="n">
        <v>5</v>
      </c>
      <c r="AP71" s="91" t="n">
        <v>1</v>
      </c>
      <c r="AQ71" s="16" t="inlineStr">
        <is>
          <t>Imagen ideal: une ingeniería meiji, paisaje y barrios no turísticos. con luz de mañana, sin multitudes dominando el encuadre.</t>
        </is>
      </c>
      <c r="AR71" s="16" t="inlineStr">
        <is>
          <t>Bishamon-dō (~5 min a pie) | Nanzen-ji (~25 min en transporte) | Eikan-dō (~27 min en transporte)</t>
        </is>
      </c>
      <c r="AS71" s="16" t="inlineStr">
        <is>
          <t>Hidden Gem real</t>
        </is>
      </c>
      <c r="AT71" s="16" t="inlineStr">
        <is>
          <t>Philosopher's Path</t>
        </is>
      </c>
      <c r="AU71" s="16" t="inlineStr">
        <is>
          <t>https://www.google.com/maps/search/?api=1&amp;query=Yamashina%20Canal%2C%20Kyoto%2C%20Japan</t>
        </is>
      </c>
      <c r="AV71" s="16" t="inlineStr">
        <is>
          <t>2026-09-01</t>
        </is>
      </c>
      <c r="AW71" s="16" t="inlineStr">
        <is>
          <t>ABIERTO; FLORACIÓN NO GARANTIZADA</t>
        </is>
      </c>
      <c r="AX71" s="16" t="inlineStr">
        <is>
          <t>En Japón central la floración plena suele ser más tardía; finales de marzo es incierto.</t>
        </is>
      </c>
      <c r="AY71" s="16" t="inlineStr">
        <is>
          <t>No basar la visita en sakura hasta el pronóstico 2027.</t>
        </is>
      </c>
    </row>
    <row r="72" ht="66" customHeight="1">
      <c r="A72" s="16" t="inlineStr">
        <is>
          <t>JP-071</t>
        </is>
      </c>
      <c r="B72" s="16" t="inlineStr">
        <is>
          <t>Kioto</t>
        </is>
      </c>
      <c r="C72" s="16" t="inlineStr">
        <is>
          <t>Kansai</t>
        </is>
      </c>
      <c r="D72" s="16" t="inlineStr">
        <is>
          <t>Kioto</t>
        </is>
      </c>
      <c r="E72" s="16" t="inlineStr">
        <is>
          <t>Kyoto</t>
        </is>
      </c>
      <c r="F72" s="16" t="inlineStr">
        <is>
          <t>Arashiyama</t>
        </is>
      </c>
      <c r="G72" s="16" t="inlineStr">
        <is>
          <t>Arashiyama</t>
        </is>
      </c>
      <c r="H72" s="16" t="inlineStr">
        <is>
          <t>Arashiyama Bamboo Grove</t>
        </is>
      </c>
      <c r="I72" s="16" t="inlineStr">
        <is>
          <t>嵯峨野竹林の小径</t>
        </is>
      </c>
      <c r="J72" s="16" t="inlineStr">
        <is>
          <t>Arashiyama Bamboo Grove</t>
        </is>
      </c>
      <c r="K72" s="16" t="inlineStr">
        <is>
          <t>🌿 Naturaleza</t>
        </is>
      </c>
      <c r="L72" s="16" t="inlineStr">
        <is>
          <t>bosque/paseo</t>
        </is>
      </c>
      <c r="M72" s="16" t="inlineStr">
        <is>
          <t>C</t>
        </is>
      </c>
      <c r="N72" s="16" t="inlineStr">
        <is>
          <t>La imagen es icónica, pero el tramo es corto y la saturación extrema.</t>
        </is>
      </c>
      <c r="O72" s="16" t="inlineStr">
        <is>
          <t>Camino entre altos bambúes junto a Tenryu-ji.</t>
        </is>
      </c>
      <c r="P72" s="16" t="inlineStr">
        <is>
          <t>Funciona mejor como conexión dentro de Arashiyama que como destino aislado.</t>
        </is>
      </c>
      <c r="Q72" s="16" t="inlineStr">
        <is>
          <t>Camino entre altos bambúes junto a Tenryu-ji.</t>
        </is>
      </c>
      <c r="R72" s="16" t="inlineStr">
        <is>
          <t>20–45 min</t>
        </is>
      </c>
      <c r="S72" s="16" t="inlineStr">
        <is>
          <t>Muy temprano</t>
        </is>
      </c>
      <c r="T72" s="16" t="inlineStr">
        <is>
          <t>Todo el año</t>
        </is>
      </c>
      <c r="U72" s="16" t="inlineStr">
        <is>
          <t>Extremo</t>
        </is>
      </c>
      <c r="V72" s="16" t="inlineStr">
        <is>
          <t>Extremo</t>
        </is>
      </c>
      <c r="W72" s="89" t="n">
        <v>0</v>
      </c>
      <c r="X72" s="89" t="n">
        <v>0</v>
      </c>
      <c r="Y72" s="89">
        <f>W72*'Configuración'!$B$4</f>
        <v/>
      </c>
      <c r="Z72" s="89">
        <f>X72*'Configuración'!$B$4</f>
        <v/>
      </c>
      <c r="AA72" s="16" t="inlineStr">
        <is>
          <t>No</t>
        </is>
      </c>
      <c r="AB72" s="16" t="inlineStr">
        <is>
          <t>—</t>
        </is>
      </c>
      <c r="AC72" s="16" t="inlineStr">
        <is>
          <t>Espacio público 24 h</t>
        </is>
      </c>
      <c r="AD72" s="16" t="inlineStr">
        <is>
          <t>Sin cierre</t>
        </is>
      </c>
      <c r="AE72" s="16" t="inlineStr">
        <is>
          <t>JR Saga-Arashiyama / Randen Arashiyama</t>
        </is>
      </c>
      <c r="AF72" s="16" t="inlineStr">
        <is>
          <t>Parcial o baja; terreno irregular y condiciones naturales</t>
        </is>
      </c>
      <c r="AG72" s="90" t="n">
        <v>35.017</v>
      </c>
      <c r="AH72" s="90" t="n">
        <v>135.6713</v>
      </c>
      <c r="AI72" s="16" t="inlineStr">
        <is>
          <t>https://kyoto.travel/en/</t>
        </is>
      </c>
      <c r="AJ72" s="16" t="inlineStr">
        <is>
          <t>Verificado</t>
        </is>
      </c>
      <c r="AK72" s="16" t="inlineStr">
        <is>
          <t>VIRAL / OPTIONAL</t>
        </is>
      </c>
      <c r="AL72" s="16" t="inlineStr">
        <is>
          <t>fotografía, naturaleza</t>
        </is>
      </c>
      <c r="AM72" s="91" t="n">
        <v>5</v>
      </c>
      <c r="AN72" s="91" t="n">
        <v>2</v>
      </c>
      <c r="AO72" s="91" t="n">
        <v>2</v>
      </c>
      <c r="AP72" s="91" t="n">
        <v>5</v>
      </c>
      <c r="AQ72" s="16" t="inlineStr">
        <is>
          <t>Imagen ideal: funciona mejor como conexión dentro de arashiyama que como destino aislado. con luz de muy temprano, sin multitudes dominando el encuadre.</t>
        </is>
      </c>
      <c r="AR72" s="16" t="inlineStr">
        <is>
          <t>Ōkōchi Sansō Garden (~3 min a pie) | Tenryū-ji (~4 min a pie) | Giō-ji (~10 min a pie)</t>
        </is>
      </c>
      <c r="AS72" s="16" t="inlineStr">
        <is>
          <t>Popular / turístico</t>
        </is>
      </c>
      <c r="AT72" s="16" t="str"/>
      <c r="AU72" s="16" t="inlineStr">
        <is>
          <t>https://www.google.com/maps/search/?api=1&amp;query=Arashiyama%20Bamboo%20Grove%2C%20Kyoto%2C%20Japan</t>
        </is>
      </c>
      <c r="AV72" s="16" t="inlineStr">
        <is>
          <t>2026-09-01</t>
        </is>
      </c>
      <c r="AW72" s="16" t="inlineStr">
        <is>
          <t>ABIERTO PREVISTO</t>
        </is>
      </c>
      <c r="AX72" s="16" t="inlineStr">
        <is>
          <t>No se conoce un cierre específico para febrero–marzo de 2027 al corte.</t>
        </is>
      </c>
      <c r="AY72" s="16" t="inlineStr">
        <is>
          <t>Revisar horario final 2–4 semanas antes.</t>
        </is>
      </c>
    </row>
    <row r="73" ht="66" customHeight="1">
      <c r="A73" s="16" t="inlineStr">
        <is>
          <t>JP-072</t>
        </is>
      </c>
      <c r="B73" s="16" t="inlineStr">
        <is>
          <t>Kioto</t>
        </is>
      </c>
      <c r="C73" s="16" t="inlineStr">
        <is>
          <t>Kansai</t>
        </is>
      </c>
      <c r="D73" s="16" t="inlineStr">
        <is>
          <t>Kioto</t>
        </is>
      </c>
      <c r="E73" s="16" t="inlineStr">
        <is>
          <t>Kyoto</t>
        </is>
      </c>
      <c r="F73" s="16" t="inlineStr">
        <is>
          <t>Arashiyama</t>
        </is>
      </c>
      <c r="G73" s="16" t="inlineStr">
        <is>
          <t>Arashiyama</t>
        </is>
      </c>
      <c r="H73" s="16" t="inlineStr">
        <is>
          <t>Tenryū-ji</t>
        </is>
      </c>
      <c r="I73" s="16" t="inlineStr">
        <is>
          <t>天龍寺</t>
        </is>
      </c>
      <c r="J73" s="16" t="inlineStr">
        <is>
          <t>Tenryū-ji</t>
        </is>
      </c>
      <c r="K73" s="16" t="inlineStr">
        <is>
          <t>⛩️ Templos y santuarios</t>
        </is>
      </c>
      <c r="L73" s="16" t="inlineStr">
        <is>
          <t>templo/jardín</t>
        </is>
      </c>
      <c r="M73" s="16" t="inlineStr">
        <is>
          <t>A</t>
        </is>
      </c>
      <c r="N73" s="16" t="inlineStr">
        <is>
          <t>El jardín histórico sí justifica Arashiyama aun si el bambusal decepciona.</t>
        </is>
      </c>
      <c r="O73" s="16" t="inlineStr">
        <is>
          <t>Templo zen con jardín Sogenchi y montañas prestadas.</t>
        </is>
      </c>
      <c r="P73" s="16" t="inlineStr">
        <is>
          <t>El paisaje integra estanque, templo y Arashiyama como una sola composición.</t>
        </is>
      </c>
      <c r="Q73" s="16" t="inlineStr">
        <is>
          <t>Templo zen con jardín Sogenchi y montañas prestadas.</t>
        </is>
      </c>
      <c r="R73" s="16" t="inlineStr">
        <is>
          <t>1–1.5 h</t>
        </is>
      </c>
      <c r="S73" s="16" t="inlineStr">
        <is>
          <t>Mañana</t>
        </is>
      </c>
      <c r="T73" s="16" t="inlineStr">
        <is>
          <t>Otoño y primavera</t>
        </is>
      </c>
      <c r="U73" s="16" t="inlineStr">
        <is>
          <t>Extremo</t>
        </is>
      </c>
      <c r="V73" s="16" t="inlineStr">
        <is>
          <t>Extremo</t>
        </is>
      </c>
      <c r="W73" s="89" t="n">
        <v>500</v>
      </c>
      <c r="X73" s="89" t="n">
        <v>800</v>
      </c>
      <c r="Y73" s="89">
        <f>W73*'Configuración'!$B$4</f>
        <v/>
      </c>
      <c r="Z73" s="89">
        <f>X73*'Configuración'!$B$4</f>
        <v/>
      </c>
      <c r="AA73" s="16" t="inlineStr">
        <is>
          <t>No</t>
        </is>
      </c>
      <c r="AB73" s="16" t="inlineStr">
        <is>
          <t>—</t>
        </is>
      </c>
      <c r="AC73" s="16" t="inlineStr">
        <is>
          <t>08:30–17:00 aprox.</t>
        </is>
      </c>
      <c r="AD73" s="16" t="inlineStr">
        <is>
          <t>Sin cierre ordinario</t>
        </is>
      </c>
      <c r="AE73" s="16" t="inlineStr">
        <is>
          <t>Randen Arashiyama</t>
        </is>
      </c>
      <c r="AF73" s="16" t="inlineStr">
        <is>
          <t>Parcial; pueden existir escalones, grava o edificios sin elevador</t>
        </is>
      </c>
      <c r="AG73" s="90" t="n">
        <v>35.0157</v>
      </c>
      <c r="AH73" s="90" t="n">
        <v>135.6738</v>
      </c>
      <c r="AI73" s="16" t="inlineStr">
        <is>
          <t>https://www.tenryuji.com/en/</t>
        </is>
      </c>
      <c r="AJ73" s="16" t="inlineStr">
        <is>
          <t>Cambiante</t>
        </is>
      </c>
      <c r="AK73" s="16" t="inlineStr">
        <is>
          <t>GARDEN</t>
        </is>
      </c>
      <c r="AL73" s="16" t="inlineStr">
        <is>
          <t>jardines, cultura, fotografía</t>
        </is>
      </c>
      <c r="AM73" s="91" t="n">
        <v>5</v>
      </c>
      <c r="AN73" s="91" t="n">
        <v>4</v>
      </c>
      <c r="AO73" s="91" t="n">
        <v>5</v>
      </c>
      <c r="AP73" s="91" t="n">
        <v>5</v>
      </c>
      <c r="AQ73" s="16" t="inlineStr">
        <is>
          <t>Imagen ideal: el paisaje integra estanque, templo y arashiyama como una sola composición. con luz de mañana, sin multitudes dominando el encuadre.</t>
        </is>
      </c>
      <c r="AR73" s="16" t="inlineStr">
        <is>
          <t>Arashiyama Bamboo Grove (~4 min a pie) | Ōkōchi Sansō Garden (~6 min a pie) | Giō-ji (~13 min a pie)</t>
        </is>
      </c>
      <c r="AS73" s="16" t="inlineStr">
        <is>
          <t>Popular / turístico</t>
        </is>
      </c>
      <c r="AT73" s="16" t="str"/>
      <c r="AU73" s="16" t="inlineStr">
        <is>
          <t>https://www.google.com/maps/search/?api=1&amp;query=Tenry%C5%AB-ji%2C%20Kyoto%2C%20Japan</t>
        </is>
      </c>
      <c r="AV73" s="16" t="inlineStr">
        <is>
          <t>2026-09-01</t>
        </is>
      </c>
      <c r="AW73" s="16" t="inlineStr">
        <is>
          <t>CALENDARIO / CONDICIÓN PENDIENTE</t>
        </is>
      </c>
      <c r="AX73" s="16" t="inlineStr">
        <is>
          <t>No hay cierre específico confirmado para la ventana, pero horarios o acceso pueden variar.</t>
        </is>
      </c>
      <c r="AY73" s="16" t="inlineStr">
        <is>
          <t>Reconfirmar en la web oficial al fijar fechas.</t>
        </is>
      </c>
    </row>
    <row r="74" ht="66" customHeight="1">
      <c r="A74" s="16" t="inlineStr">
        <is>
          <t>JP-073</t>
        </is>
      </c>
      <c r="B74" s="16" t="inlineStr">
        <is>
          <t>Kioto</t>
        </is>
      </c>
      <c r="C74" s="16" t="inlineStr">
        <is>
          <t>Kansai</t>
        </is>
      </c>
      <c r="D74" s="16" t="inlineStr">
        <is>
          <t>Kioto</t>
        </is>
      </c>
      <c r="E74" s="16" t="inlineStr">
        <is>
          <t>Kyoto</t>
        </is>
      </c>
      <c r="F74" s="16" t="inlineStr">
        <is>
          <t>Arashiyama</t>
        </is>
      </c>
      <c r="G74" s="16" t="inlineStr">
        <is>
          <t>Arashiyama</t>
        </is>
      </c>
      <c r="H74" s="16" t="inlineStr">
        <is>
          <t>Ōkōchi Sansō Garden</t>
        </is>
      </c>
      <c r="I74" s="16" t="inlineStr">
        <is>
          <t>大河内山荘庭園</t>
        </is>
      </c>
      <c r="J74" s="16" t="inlineStr">
        <is>
          <t>Ōkōchi Sansō Garden</t>
        </is>
      </c>
      <c r="K74" s="16" t="inlineStr">
        <is>
          <t>🌸 Jardines y paisajes</t>
        </is>
      </c>
      <c r="L74" s="16" t="inlineStr">
        <is>
          <t>jardín/villa</t>
        </is>
      </c>
      <c r="M74" s="16" t="inlineStr">
        <is>
          <t>A</t>
        </is>
      </c>
      <c r="N74" s="16" t="inlineStr">
        <is>
          <t>La mejor recompensa tras el bambusal: vistas, senderos y aforo moderado.</t>
        </is>
      </c>
      <c r="O74" s="16" t="inlineStr">
        <is>
          <t>Antigua villa del actor Ōkōchi Denjirō con jardines en ladera.</t>
        </is>
      </c>
      <c r="P74" s="16" t="inlineStr">
        <is>
          <t>Tiene panoramas de Kyoto y montañas que el bambusal no ofrece.</t>
        </is>
      </c>
      <c r="Q74" s="16" t="inlineStr">
        <is>
          <t>Antigua villa del actor Ōkōchi Denjirō con jardines en ladera.</t>
        </is>
      </c>
      <c r="R74" s="16" t="inlineStr">
        <is>
          <t>1–1.5 h</t>
        </is>
      </c>
      <c r="S74" s="16" t="inlineStr">
        <is>
          <t>Mañana</t>
        </is>
      </c>
      <c r="T74" s="16" t="inlineStr">
        <is>
          <t>Otoño</t>
        </is>
      </c>
      <c r="U74" s="16" t="inlineStr">
        <is>
          <t>Medio</t>
        </is>
      </c>
      <c r="V74" s="16" t="inlineStr">
        <is>
          <t>Medio</t>
        </is>
      </c>
      <c r="W74" s="89" t="n">
        <v>1000</v>
      </c>
      <c r="X74" s="89" t="n">
        <v>1000</v>
      </c>
      <c r="Y74" s="89">
        <f>W74*'Configuración'!$B$4</f>
        <v/>
      </c>
      <c r="Z74" s="89">
        <f>X74*'Configuración'!$B$4</f>
        <v/>
      </c>
      <c r="AA74" s="16" t="inlineStr">
        <is>
          <t>No</t>
        </is>
      </c>
      <c r="AB74" s="16" t="inlineStr">
        <is>
          <t>—</t>
        </is>
      </c>
      <c r="AC74" s="16" t="inlineStr">
        <is>
          <t>09:00–17:00 aprox.</t>
        </is>
      </c>
      <c r="AD74" s="16" t="inlineStr">
        <is>
          <t>Sin cierre ordinario</t>
        </is>
      </c>
      <c r="AE74" s="16" t="inlineStr">
        <is>
          <t>Arashiyama; salida norte del bambusal</t>
        </is>
      </c>
      <c r="AF74" s="16" t="inlineStr">
        <is>
          <t>Parcial; pueden existir escalones, grava o edificios sin elevador</t>
        </is>
      </c>
      <c r="AG74" s="90" t="n">
        <v>35.0168</v>
      </c>
      <c r="AH74" s="90" t="n">
        <v>135.6689</v>
      </c>
      <c r="AI74" s="16" t="inlineStr">
        <is>
          <t>https://kyoto.travel/en/</t>
        </is>
      </c>
      <c r="AJ74" s="16" t="inlineStr">
        <is>
          <t>Cambiante</t>
        </is>
      </c>
      <c r="AK74" s="16" t="inlineStr">
        <is>
          <t>ALTERNATIVE</t>
        </is>
      </c>
      <c r="AL74" s="16" t="inlineStr">
        <is>
          <t>pareja, jardines, fotografía</t>
        </is>
      </c>
      <c r="AM74" s="91" t="n">
        <v>5</v>
      </c>
      <c r="AN74" s="91" t="n">
        <v>5</v>
      </c>
      <c r="AO74" s="91" t="n">
        <v>5</v>
      </c>
      <c r="AP74" s="91" t="n">
        <v>2</v>
      </c>
      <c r="AQ74" s="16" t="inlineStr">
        <is>
          <t>Imagen ideal: tiene panoramas de kyoto y montañas que el bambusal no ofrece. con luz de mañana, sin multitudes dominando el encuadre.</t>
        </is>
      </c>
      <c r="AR74" s="16" t="inlineStr">
        <is>
          <t>Arashiyama Bamboo Grove (~3 min a pie) | Tenryū-ji (~6 min a pie) | Giō-ji (~9 min a pie)</t>
        </is>
      </c>
      <c r="AS74" s="16" t="inlineStr">
        <is>
          <t>Alternativa menos saturada</t>
        </is>
      </c>
      <c r="AT74" s="16" t="inlineStr">
        <is>
          <t>Arashiyama Bamboo Grove</t>
        </is>
      </c>
      <c r="AU74" s="16" t="inlineStr">
        <is>
          <t>https://www.google.com/maps/search/?api=1&amp;query=%C5%8Ck%C5%8Dchi%20Sans%C5%8D%20Garden%2C%20Kyoto%2C%20Japan</t>
        </is>
      </c>
      <c r="AV74" s="16" t="inlineStr">
        <is>
          <t>2026-09-01</t>
        </is>
      </c>
      <c r="AW74" s="16" t="inlineStr">
        <is>
          <t>CALENDARIO / CONDICIÓN PENDIENTE</t>
        </is>
      </c>
      <c r="AX74" s="16" t="inlineStr">
        <is>
          <t>No hay cierre específico confirmado para la ventana, pero horarios o acceso pueden variar.</t>
        </is>
      </c>
      <c r="AY74" s="16" t="inlineStr">
        <is>
          <t>Reconfirmar en la web oficial al fijar fechas.</t>
        </is>
      </c>
    </row>
    <row r="75" ht="66" customHeight="1">
      <c r="A75" s="16" t="inlineStr">
        <is>
          <t>JP-074</t>
        </is>
      </c>
      <c r="B75" s="16" t="inlineStr">
        <is>
          <t>Kioto</t>
        </is>
      </c>
      <c r="C75" s="16" t="inlineStr">
        <is>
          <t>Kansai</t>
        </is>
      </c>
      <c r="D75" s="16" t="inlineStr">
        <is>
          <t>Kioto</t>
        </is>
      </c>
      <c r="E75" s="16" t="inlineStr">
        <is>
          <t>Kyoto</t>
        </is>
      </c>
      <c r="F75" s="16" t="inlineStr">
        <is>
          <t>Saga-Toriimoto</t>
        </is>
      </c>
      <c r="G75" s="16" t="inlineStr">
        <is>
          <t>Arashiyama North</t>
        </is>
      </c>
      <c r="H75" s="16" t="inlineStr">
        <is>
          <t>Giō-ji</t>
        </is>
      </c>
      <c r="I75" s="16" t="inlineStr">
        <is>
          <t>祇王寺</t>
        </is>
      </c>
      <c r="J75" s="16" t="inlineStr">
        <is>
          <t>Giō-ji</t>
        </is>
      </c>
      <c r="K75" s="16" t="inlineStr">
        <is>
          <t>⛩️ Templos y santuarios</t>
        </is>
      </c>
      <c r="L75" s="16" t="inlineStr">
        <is>
          <t>templo/jardín de musgo</t>
        </is>
      </c>
      <c r="M75" s="16" t="inlineStr">
        <is>
          <t>A</t>
        </is>
      </c>
      <c r="N75" s="16" t="inlineStr">
        <is>
          <t>Uno de los recintos de musgo más íntimos y emocionales de Arashiyama.</t>
        </is>
      </c>
      <c r="O75" s="16" t="inlineStr">
        <is>
          <t>Pequeño templo de monjas con jardín de musgo y bambú.</t>
        </is>
      </c>
      <c r="P75" s="16" t="inlineStr">
        <is>
          <t>La escala y silencio son opuestos al corredor turístico principal.</t>
        </is>
      </c>
      <c r="Q75" s="16" t="inlineStr">
        <is>
          <t>Pequeño templo de monjas con jardín de musgo y bambú.</t>
        </is>
      </c>
      <c r="R75" s="16" t="inlineStr">
        <is>
          <t>45–75 min</t>
        </is>
      </c>
      <c r="S75" s="16" t="inlineStr">
        <is>
          <t>Mañana</t>
        </is>
      </c>
      <c r="T75" s="16" t="inlineStr">
        <is>
          <t>Temporada húmeda y otoño</t>
        </is>
      </c>
      <c r="U75" s="16" t="inlineStr">
        <is>
          <t>Bajo</t>
        </is>
      </c>
      <c r="V75" s="16" t="inlineStr">
        <is>
          <t>Bajo</t>
        </is>
      </c>
      <c r="W75" s="89" t="n">
        <v>300</v>
      </c>
      <c r="X75" s="89" t="n">
        <v>300</v>
      </c>
      <c r="Y75" s="89">
        <f>W75*'Configuración'!$B$4</f>
        <v/>
      </c>
      <c r="Z75" s="89">
        <f>X75*'Configuración'!$B$4</f>
        <v/>
      </c>
      <c r="AA75" s="16" t="inlineStr">
        <is>
          <t>No</t>
        </is>
      </c>
      <c r="AB75" s="16" t="inlineStr">
        <is>
          <t>—</t>
        </is>
      </c>
      <c r="AC75" s="16" t="inlineStr">
        <is>
          <t>09:00–16:30 aprox.</t>
        </is>
      </c>
      <c r="AD75" s="16" t="inlineStr">
        <is>
          <t>Inicio de año; verificar</t>
        </is>
      </c>
      <c r="AE75" s="16" t="inlineStr">
        <is>
          <t>Bus Saga Shakado-mae + paseo</t>
        </is>
      </c>
      <c r="AF75" s="16" t="inlineStr">
        <is>
          <t>Parcial; pueden existir escalones, grava o edificios sin elevador</t>
        </is>
      </c>
      <c r="AG75" s="90" t="n">
        <v>35.0222</v>
      </c>
      <c r="AH75" s="90" t="n">
        <v>135.6669</v>
      </c>
      <c r="AI75" s="16" t="inlineStr">
        <is>
          <t>https://www.giouji.or.jp/en/</t>
        </is>
      </c>
      <c r="AJ75" s="16" t="inlineStr">
        <is>
          <t>Cambiante</t>
        </is>
      </c>
      <c r="AK75" s="16" t="inlineStr">
        <is>
          <t>HIDDEN GEM</t>
        </is>
      </c>
      <c r="AL75" s="16" t="inlineStr">
        <is>
          <t>pareja, jardines, cultura</t>
        </is>
      </c>
      <c r="AM75" s="91" t="n">
        <v>4</v>
      </c>
      <c r="AN75" s="91" t="n">
        <v>5</v>
      </c>
      <c r="AO75" s="91" t="n">
        <v>5</v>
      </c>
      <c r="AP75" s="91" t="n">
        <v>1</v>
      </c>
      <c r="AQ75" s="16" t="inlineStr">
        <is>
          <t>Imagen ideal: la escala y silencio son opuestos al corredor turístico principal. con luz de mañana, sin multitudes dominando el encuadre.</t>
        </is>
      </c>
      <c r="AR75" s="16" t="inlineStr">
        <is>
          <t>Adashino Nenbutsu-ji (~8 min a pie) | Ōkōchi Sansō Garden (~9 min a pie) | Arashiyama Bamboo Grove (~10 min a pie)</t>
        </is>
      </c>
      <c r="AS75" s="16" t="inlineStr">
        <is>
          <t>Hidden Gem real</t>
        </is>
      </c>
      <c r="AT75" s="16" t="str"/>
      <c r="AU75" s="16" t="inlineStr">
        <is>
          <t>https://www.google.com/maps/search/?api=1&amp;query=Gi%C5%8D-ji%2C%20Kyoto%2C%20Japan</t>
        </is>
      </c>
      <c r="AV75" s="16" t="inlineStr">
        <is>
          <t>2026-09-01</t>
        </is>
      </c>
      <c r="AW75" s="16" t="inlineStr">
        <is>
          <t>CALENDARIO / CONDICIÓN PENDIENTE</t>
        </is>
      </c>
      <c r="AX75" s="16" t="inlineStr">
        <is>
          <t>No hay cierre específico confirmado para la ventana, pero horarios o acceso pueden variar.</t>
        </is>
      </c>
      <c r="AY75" s="16" t="inlineStr">
        <is>
          <t>Reconfirmar en la web oficial al fijar fechas.</t>
        </is>
      </c>
    </row>
    <row r="76" ht="66" customHeight="1">
      <c r="A76" s="16" t="inlineStr">
        <is>
          <t>JP-075</t>
        </is>
      </c>
      <c r="B76" s="16" t="inlineStr">
        <is>
          <t>Kioto</t>
        </is>
      </c>
      <c r="C76" s="16" t="inlineStr">
        <is>
          <t>Kansai</t>
        </is>
      </c>
      <c r="D76" s="16" t="inlineStr">
        <is>
          <t>Kioto</t>
        </is>
      </c>
      <c r="E76" s="16" t="inlineStr">
        <is>
          <t>Kyoto</t>
        </is>
      </c>
      <c r="F76" s="16" t="inlineStr">
        <is>
          <t>Saga-Toriimoto</t>
        </is>
      </c>
      <c r="G76" s="16" t="inlineStr">
        <is>
          <t>Arashiyama North</t>
        </is>
      </c>
      <c r="H76" s="16" t="inlineStr">
        <is>
          <t>Otagi Nenbutsu-ji</t>
        </is>
      </c>
      <c r="I76" s="16" t="inlineStr">
        <is>
          <t>愛宕念仏寺</t>
        </is>
      </c>
      <c r="J76" s="16" t="inlineStr">
        <is>
          <t>Otagi Nenbutsu-ji</t>
        </is>
      </c>
      <c r="K76" s="16" t="inlineStr">
        <is>
          <t>⛩️ Templos y santuarios</t>
        </is>
      </c>
      <c r="L76" s="16" t="inlineStr">
        <is>
          <t>templo</t>
        </is>
      </c>
      <c r="M76" s="16" t="inlineStr">
        <is>
          <t>A</t>
        </is>
      </c>
      <c r="N76" s="16" t="inlineStr">
        <is>
          <t>Más de mil rakan expresivos crean una experiencia artística y espiritual singular. Clasificación v2: excelente y muy recomendable, pero no justifica por sí sola adaptar la ruta.</t>
        </is>
      </c>
      <c r="O76" s="16" t="inlineStr">
        <is>
          <t>Templo de montaña con 1,200 estatuas de discípulos talladas por visitantes.</t>
        </is>
      </c>
      <c r="P76" s="16" t="inlineStr">
        <is>
          <t>Cada rostro es distinto; mezcla humor, oficio y memoria comunitaria.</t>
        </is>
      </c>
      <c r="Q76" s="16" t="inlineStr">
        <is>
          <t>Templo de montaña con 1,200 estatuas de discípulos talladas por visitantes.</t>
        </is>
      </c>
      <c r="R76" s="16" t="inlineStr">
        <is>
          <t>1–1.5 h</t>
        </is>
      </c>
      <c r="S76" s="16" t="inlineStr">
        <is>
          <t>Mañana</t>
        </is>
      </c>
      <c r="T76" s="16" t="inlineStr">
        <is>
          <t>Todo el año; otoño</t>
        </is>
      </c>
      <c r="U76" s="16" t="inlineStr">
        <is>
          <t>Bajo</t>
        </is>
      </c>
      <c r="V76" s="16" t="inlineStr">
        <is>
          <t>Bajo</t>
        </is>
      </c>
      <c r="W76" s="89" t="n">
        <v>500</v>
      </c>
      <c r="X76" s="89" t="n">
        <v>500</v>
      </c>
      <c r="Y76" s="89">
        <f>W76*'Configuración'!$B$4</f>
        <v/>
      </c>
      <c r="Z76" s="89">
        <f>X76*'Configuración'!$B$4</f>
        <v/>
      </c>
      <c r="AA76" s="16" t="inlineStr">
        <is>
          <t>No</t>
        </is>
      </c>
      <c r="AB76" s="16" t="inlineStr">
        <is>
          <t>—</t>
        </is>
      </c>
      <c r="AC76" s="16" t="inlineStr">
        <is>
          <t>08:00–16:30 aprox.</t>
        </is>
      </c>
      <c r="AD76" s="16" t="inlineStr">
        <is>
          <t>Sin cierre ordinario</t>
        </is>
      </c>
      <c r="AE76" s="16" t="inlineStr">
        <is>
          <t>Bus Otagidera-mae</t>
        </is>
      </c>
      <c r="AF76" s="16" t="inlineStr">
        <is>
          <t>Parcial; pueden existir escalones, grava o edificios sin elevador</t>
        </is>
      </c>
      <c r="AG76" s="90" t="n">
        <v>35.031</v>
      </c>
      <c r="AH76" s="90" t="n">
        <v>135.6617</v>
      </c>
      <c r="AI76" s="16" t="inlineStr">
        <is>
          <t>https://www.otagiji.com/</t>
        </is>
      </c>
      <c r="AJ76" s="16" t="inlineStr">
        <is>
          <t>Cambiante</t>
        </is>
      </c>
      <c r="AK76" s="16" t="inlineStr">
        <is>
          <t>HIDDEN GEM</t>
        </is>
      </c>
      <c r="AL76" s="16" t="inlineStr">
        <is>
          <t>fotografía, cultura, arte</t>
        </is>
      </c>
      <c r="AM76" s="91" t="n">
        <v>5</v>
      </c>
      <c r="AN76" s="91" t="n">
        <v>5</v>
      </c>
      <c r="AO76" s="91" t="n">
        <v>5</v>
      </c>
      <c r="AP76" s="91" t="n">
        <v>1</v>
      </c>
      <c r="AQ76" s="16" t="inlineStr">
        <is>
          <t>Imagen ideal: cada rostro es distinto; mezcla humor, oficio y memoria comunitaria. con luz de mañana, sin multitudes dominando el encuadre.</t>
        </is>
      </c>
      <c r="AR76" s="16" t="inlineStr">
        <is>
          <t>Adashino Nenbutsu-ji (~7 min a pie) | Giō-ji (~15 min a pie) | Ōkōchi Sansō Garden (~24 min a pie)</t>
        </is>
      </c>
      <c r="AS76" s="16" t="inlineStr">
        <is>
          <t>Hidden Gem real</t>
        </is>
      </c>
      <c r="AT76" s="16" t="inlineStr">
        <is>
          <t>Templos centrales saturados</t>
        </is>
      </c>
      <c r="AU76" s="16" t="inlineStr">
        <is>
          <t>https://www.google.com/maps/search/?api=1&amp;query=Otagi%20Nenbutsu-ji%2C%20Kyoto%2C%20Japan</t>
        </is>
      </c>
      <c r="AV76" s="16" t="inlineStr">
        <is>
          <t>2026-09-01</t>
        </is>
      </c>
      <c r="AW76" s="16" t="inlineStr">
        <is>
          <t>CALENDARIO / CONDICIÓN PENDIENTE</t>
        </is>
      </c>
      <c r="AX76" s="16" t="inlineStr">
        <is>
          <t>No hay cierre específico confirmado para la ventana, pero horarios o acceso pueden variar.</t>
        </is>
      </c>
      <c r="AY76" s="16" t="inlineStr">
        <is>
          <t>Reconfirmar en la web oficial al fijar fechas.</t>
        </is>
      </c>
    </row>
    <row r="77" ht="66" customHeight="1">
      <c r="A77" s="16" t="inlineStr">
        <is>
          <t>JP-076</t>
        </is>
      </c>
      <c r="B77" s="16" t="inlineStr">
        <is>
          <t>Kioto</t>
        </is>
      </c>
      <c r="C77" s="16" t="inlineStr">
        <is>
          <t>Kansai</t>
        </is>
      </c>
      <c r="D77" s="16" t="inlineStr">
        <is>
          <t>Kioto</t>
        </is>
      </c>
      <c r="E77" s="16" t="inlineStr">
        <is>
          <t>Kyoto</t>
        </is>
      </c>
      <c r="F77" s="16" t="inlineStr">
        <is>
          <t>Saga-Toriimoto</t>
        </is>
      </c>
      <c r="G77" s="16" t="inlineStr">
        <is>
          <t>Arashiyama North</t>
        </is>
      </c>
      <c r="H77" s="16" t="inlineStr">
        <is>
          <t>Adashino Nenbutsu-ji</t>
        </is>
      </c>
      <c r="I77" s="16" t="inlineStr">
        <is>
          <t>化野念仏寺</t>
        </is>
      </c>
      <c r="J77" s="16" t="inlineStr">
        <is>
          <t>Adashino Nenbutsu-ji</t>
        </is>
      </c>
      <c r="K77" s="16" t="inlineStr">
        <is>
          <t>⛩️ Templos y santuarios</t>
        </is>
      </c>
      <c r="L77" s="16" t="inlineStr">
        <is>
          <t>templo/cementerio</t>
        </is>
      </c>
      <c r="M77" s="16" t="inlineStr">
        <is>
          <t>A</t>
        </is>
      </c>
      <c r="N77" s="16" t="inlineStr">
        <is>
          <t>Miles de piedras memoriales y un pequeño bambusal ofrecen una alternativa más profunda.</t>
        </is>
      </c>
      <c r="O77" s="16" t="inlineStr">
        <is>
          <t>Templo funerario con Sai no Kawara y sendero de bambú.</t>
        </is>
      </c>
      <c r="P77" s="16" t="inlineStr">
        <is>
          <t>El paisaje habla de memoria y abandono, no solo de fotografía.</t>
        </is>
      </c>
      <c r="Q77" s="16" t="inlineStr">
        <is>
          <t>Templo funerario con Sai no Kawara y sendero de bambú.</t>
        </is>
      </c>
      <c r="R77" s="16" t="inlineStr">
        <is>
          <t>1–1.5 h</t>
        </is>
      </c>
      <c r="S77" s="16" t="inlineStr">
        <is>
          <t>Mañana</t>
        </is>
      </c>
      <c r="T77" s="16" t="inlineStr">
        <is>
          <t>Otoño</t>
        </is>
      </c>
      <c r="U77" s="16" t="inlineStr">
        <is>
          <t>Medio</t>
        </is>
      </c>
      <c r="V77" s="16" t="inlineStr">
        <is>
          <t>Medio</t>
        </is>
      </c>
      <c r="W77" s="89" t="n">
        <v>500</v>
      </c>
      <c r="X77" s="89" t="n">
        <v>500</v>
      </c>
      <c r="Y77" s="89">
        <f>W77*'Configuración'!$B$4</f>
        <v/>
      </c>
      <c r="Z77" s="89">
        <f>X77*'Configuración'!$B$4</f>
        <v/>
      </c>
      <c r="AA77" s="16" t="inlineStr">
        <is>
          <t>No</t>
        </is>
      </c>
      <c r="AB77" s="16" t="inlineStr">
        <is>
          <t>—</t>
        </is>
      </c>
      <c r="AC77" s="16" t="inlineStr">
        <is>
          <t>09:00–16:30 aprox.</t>
        </is>
      </c>
      <c r="AD77" s="16" t="inlineStr">
        <is>
          <t>Variable</t>
        </is>
      </c>
      <c r="AE77" s="16" t="inlineStr">
        <is>
          <t>Bus Toriimoto</t>
        </is>
      </c>
      <c r="AF77" s="16" t="inlineStr">
        <is>
          <t>Parcial; pueden existir escalones, grava o edificios sin elevador</t>
        </is>
      </c>
      <c r="AG77" s="90" t="n">
        <v>35.0268</v>
      </c>
      <c r="AH77" s="90" t="n">
        <v>135.6637</v>
      </c>
      <c r="AI77" s="16" t="inlineStr">
        <is>
          <t>http://www.nenbutsuji.jp/</t>
        </is>
      </c>
      <c r="AJ77" s="16" t="inlineStr">
        <is>
          <t>Cambiante</t>
        </is>
      </c>
      <c r="AK77" s="16" t="inlineStr">
        <is>
          <t>ALTERNATIVE</t>
        </is>
      </c>
      <c r="AL77" s="16" t="inlineStr">
        <is>
          <t>historia, fotografía, cultura</t>
        </is>
      </c>
      <c r="AM77" s="91" t="n">
        <v>5</v>
      </c>
      <c r="AN77" s="91" t="n">
        <v>5</v>
      </c>
      <c r="AO77" s="91" t="n">
        <v>5</v>
      </c>
      <c r="AP77" s="91" t="n">
        <v>2</v>
      </c>
      <c r="AQ77" s="16" t="inlineStr">
        <is>
          <t>Imagen ideal: el paisaje habla de memoria y abandono, no solo de fotografía. con luz de mañana, sin multitudes dominando el encuadre.</t>
        </is>
      </c>
      <c r="AR77" s="16" t="inlineStr">
        <is>
          <t>Otagi Nenbutsu-ji (~7 min a pie) | Giō-ji (~8 min a pie) | Ōkōchi Sansō Garden (~17 min a pie)</t>
        </is>
      </c>
      <c r="AS77" s="16" t="inlineStr">
        <is>
          <t>Alternativa menos saturada</t>
        </is>
      </c>
      <c r="AT77" s="16" t="inlineStr">
        <is>
          <t>Arashiyama Bamboo Grove</t>
        </is>
      </c>
      <c r="AU77" s="16" t="inlineStr">
        <is>
          <t>https://www.google.com/maps/search/?api=1&amp;query=Adashino%20Nenbutsu-ji%2C%20Kyoto%2C%20Japan</t>
        </is>
      </c>
      <c r="AV77" s="16" t="inlineStr">
        <is>
          <t>2026-09-01</t>
        </is>
      </c>
      <c r="AW77" s="16" t="inlineStr">
        <is>
          <t>CALENDARIO / CONDICIÓN PENDIENTE</t>
        </is>
      </c>
      <c r="AX77" s="16" t="inlineStr">
        <is>
          <t>No hay cierre específico confirmado para la ventana, pero horarios o acceso pueden variar.</t>
        </is>
      </c>
      <c r="AY77" s="16" t="inlineStr">
        <is>
          <t>Reconfirmar en la web oficial al fijar fechas.</t>
        </is>
      </c>
    </row>
    <row r="78" ht="66" customHeight="1">
      <c r="A78" s="16" t="inlineStr">
        <is>
          <t>JP-077</t>
        </is>
      </c>
      <c r="B78" s="16" t="inlineStr">
        <is>
          <t>Kioto</t>
        </is>
      </c>
      <c r="C78" s="16" t="inlineStr">
        <is>
          <t>Kansai</t>
        </is>
      </c>
      <c r="D78" s="16" t="inlineStr">
        <is>
          <t>Kioto</t>
        </is>
      </c>
      <c r="E78" s="16" t="inlineStr">
        <is>
          <t>Kyoto</t>
        </is>
      </c>
      <c r="F78" s="16" t="inlineStr">
        <is>
          <t>Nishikyo</t>
        </is>
      </c>
      <c r="G78" s="16" t="inlineStr">
        <is>
          <t>Nishikyo</t>
        </is>
      </c>
      <c r="H78" s="16" t="inlineStr">
        <is>
          <t>Katsura Imperial Villa</t>
        </is>
      </c>
      <c r="I78" s="16" t="inlineStr">
        <is>
          <t>桂離宮</t>
        </is>
      </c>
      <c r="J78" s="16" t="inlineStr">
        <is>
          <t>Katsura Imperial Villa</t>
        </is>
      </c>
      <c r="K78" s="16" t="inlineStr">
        <is>
          <t>🌸 Jardines y paisajes</t>
        </is>
      </c>
      <c r="L78" s="16" t="inlineStr">
        <is>
          <t>villa/jardín</t>
        </is>
      </c>
      <c r="M78" s="16" t="inlineStr">
        <is>
          <t>S</t>
        </is>
      </c>
      <c r="N78" s="16" t="inlineStr">
        <is>
          <t>Obra maestra absoluta de arquitectura y jardín japonés; exige planificación.</t>
        </is>
      </c>
      <c r="O78" s="16" t="inlineStr">
        <is>
          <t>Villa imperial del siglo XVII visitable solo en tour oficial.</t>
        </is>
      </c>
      <c r="P78" s="16" t="inlineStr">
        <is>
          <t>La secuencia de vistas y casas de té influyó en la arquitectura moderna mundial.</t>
        </is>
      </c>
      <c r="Q78" s="16" t="inlineStr">
        <is>
          <t>Villa imperial del siglo XVII visitable solo en tour oficial.</t>
        </is>
      </c>
      <c r="R78" s="16" t="inlineStr">
        <is>
          <t>1.5 h</t>
        </is>
      </c>
      <c r="S78" s="16" t="inlineStr">
        <is>
          <t>Mañana</t>
        </is>
      </c>
      <c r="T78" s="16" t="inlineStr">
        <is>
          <t>Todo el año; primavera/otoño</t>
        </is>
      </c>
      <c r="U78" s="16" t="inlineStr">
        <is>
          <t>Bajo</t>
        </is>
      </c>
      <c r="V78" s="16" t="inlineStr">
        <is>
          <t>Bajo</t>
        </is>
      </c>
      <c r="W78" s="89" t="n">
        <v>1000</v>
      </c>
      <c r="X78" s="89" t="n">
        <v>1000</v>
      </c>
      <c r="Y78" s="89">
        <f>W78*'Configuración'!$B$4</f>
        <v/>
      </c>
      <c r="Z78" s="89">
        <f>X78*'Configuración'!$B$4</f>
        <v/>
      </c>
      <c r="AA78" s="16" t="inlineStr">
        <is>
          <t>Sí</t>
        </is>
      </c>
      <c r="AB78" s="16" t="inlineStr">
        <is>
          <t>Semanas; cupo limitado</t>
        </is>
      </c>
      <c r="AC78" s="16" t="inlineStr">
        <is>
          <t>Tours en horas fijas</t>
        </is>
      </c>
      <c r="AD78" s="16" t="inlineStr">
        <is>
          <t>Lunes y calendario imperial</t>
        </is>
      </c>
      <c r="AE78" s="16" t="inlineStr">
        <is>
          <t>Hankyu Katsura + bus/taxi</t>
        </is>
      </c>
      <c r="AF78" s="16" t="inlineStr">
        <is>
          <t>Parcial; pueden existir escalones, grava o edificios sin elevador</t>
        </is>
      </c>
      <c r="AG78" s="90" t="n">
        <v>34.9837</v>
      </c>
      <c r="AH78" s="90" t="n">
        <v>135.709</v>
      </c>
      <c r="AI78" s="16" t="inlineStr">
        <is>
          <t>https://kyoto-gosho.kunaicho.go.jp/en/katsura-rikyu/visit</t>
        </is>
      </c>
      <c r="AJ78" s="16" t="inlineStr">
        <is>
          <t>Cambiante</t>
        </is>
      </c>
      <c r="AK78" s="16" t="inlineStr">
        <is>
          <t>MUST SEE / RESERVE</t>
        </is>
      </c>
      <c r="AL78" s="16" t="inlineStr">
        <is>
          <t>arquitectura, jardines, cultura</t>
        </is>
      </c>
      <c r="AM78" s="91" t="n">
        <v>5</v>
      </c>
      <c r="AN78" s="91" t="n">
        <v>5</v>
      </c>
      <c r="AO78" s="91" t="n">
        <v>4</v>
      </c>
      <c r="AP78" s="91" t="n">
        <v>1</v>
      </c>
      <c r="AQ78" s="16" t="inlineStr">
        <is>
          <t>Imagen ideal: la secuencia de vistas y casas de té influyó en la arquitectura moderna mundial. con luz de mañana, sin multitudes dominando el encuadre.</t>
        </is>
      </c>
      <c r="AR78" s="16" t="inlineStr">
        <is>
          <t>Saiho-ji (Koke-dera) (~33 min en transporte) | Kyoto Rakusai Bamboo Park (~53 min en transporte)</t>
        </is>
      </c>
      <c r="AS78" s="16" t="inlineStr">
        <is>
          <t>Lugar conocido pero excelente</t>
        </is>
      </c>
      <c r="AT78" s="16" t="str"/>
      <c r="AU78" s="16" t="inlineStr">
        <is>
          <t>https://www.google.com/maps/search/?api=1&amp;query=Katsura%20Imperial%20Villa%2C%20Kyoto%2C%20Japan</t>
        </is>
      </c>
      <c r="AV78" s="16" t="inlineStr">
        <is>
          <t>2026-09-01</t>
        </is>
      </c>
      <c r="AW78" s="16" t="inlineStr">
        <is>
          <t>CALENDARIO / CONDICIÓN PENDIENTE</t>
        </is>
      </c>
      <c r="AX78" s="16" t="inlineStr">
        <is>
          <t>No hay cierre específico confirmado para la ventana, pero horarios o acceso pueden variar.</t>
        </is>
      </c>
      <c r="AY78" s="16" t="inlineStr">
        <is>
          <t>Reconfirmar en la web oficial al fijar fechas.</t>
        </is>
      </c>
    </row>
    <row r="79" ht="66" customHeight="1">
      <c r="A79" s="16" t="inlineStr">
        <is>
          <t>JP-078</t>
        </is>
      </c>
      <c r="B79" s="16" t="inlineStr">
        <is>
          <t>Kioto</t>
        </is>
      </c>
      <c r="C79" s="16" t="inlineStr">
        <is>
          <t>Kansai</t>
        </is>
      </c>
      <c r="D79" s="16" t="inlineStr">
        <is>
          <t>Kioto</t>
        </is>
      </c>
      <c r="E79" s="16" t="inlineStr">
        <is>
          <t>Kyoto</t>
        </is>
      </c>
      <c r="F79" s="16" t="inlineStr">
        <is>
          <t>Nishikyo</t>
        </is>
      </c>
      <c r="G79" s="16" t="inlineStr">
        <is>
          <t>Nishikyo</t>
        </is>
      </c>
      <c r="H79" s="16" t="inlineStr">
        <is>
          <t>Saiho-ji (Koke-dera)</t>
        </is>
      </c>
      <c r="I79" s="16" t="inlineStr">
        <is>
          <t>西芳寺（苔寺）</t>
        </is>
      </c>
      <c r="J79" s="16" t="inlineStr">
        <is>
          <t>Saiho-ji (Koke-dera)</t>
        </is>
      </c>
      <c r="K79" s="16" t="inlineStr">
        <is>
          <t>🌸 Jardines y paisajes</t>
        </is>
      </c>
      <c r="L79" s="16" t="inlineStr">
        <is>
          <t>templo/jardín de musgo</t>
        </is>
      </c>
      <c r="M79" s="16" t="inlineStr">
        <is>
          <t>A</t>
        </is>
      </c>
      <c r="N79" s="16" t="inlineStr">
        <is>
          <t>Jardín extraordinario con acceso controlado; caro pero sereno.</t>
        </is>
      </c>
      <c r="O79" s="16" t="inlineStr">
        <is>
          <t>Templo zen famoso por su musgo y práctica de sutra previa.</t>
        </is>
      </c>
      <c r="P79" s="16" t="inlineStr">
        <is>
          <t>La reserva y ritual filtran multitudes y cambian el ritmo de visita.</t>
        </is>
      </c>
      <c r="Q79" s="16" t="inlineStr">
        <is>
          <t>Templo zen famoso por su musgo y práctica de sutra previa.</t>
        </is>
      </c>
      <c r="R79" s="16" t="inlineStr">
        <is>
          <t>1.5–2 h</t>
        </is>
      </c>
      <c r="S79" s="16" t="inlineStr">
        <is>
          <t>Mañana</t>
        </is>
      </c>
      <c r="T79" s="16" t="inlineStr">
        <is>
          <t>Temporada húmeda y otoño</t>
        </is>
      </c>
      <c r="U79" s="16" t="inlineStr">
        <is>
          <t>Bajo</t>
        </is>
      </c>
      <c r="V79" s="16" t="inlineStr">
        <is>
          <t>Medio</t>
        </is>
      </c>
      <c r="W79" s="89" t="n">
        <v>4000</v>
      </c>
      <c r="X79" s="89" t="n">
        <v>4000</v>
      </c>
      <c r="Y79" s="89">
        <f>W79*'Configuración'!$B$4</f>
        <v/>
      </c>
      <c r="Z79" s="89">
        <f>X79*'Configuración'!$B$4</f>
        <v/>
      </c>
      <c r="AA79" s="16" t="inlineStr">
        <is>
          <t>Sí</t>
        </is>
      </c>
      <c r="AB79" s="16" t="inlineStr">
        <is>
          <t>Semanas; según sistema oficial</t>
        </is>
      </c>
      <c r="AC79" s="16" t="inlineStr">
        <is>
          <t>Horario asignado</t>
        </is>
      </c>
      <c r="AD79" s="16" t="inlineStr">
        <is>
          <t>Variable</t>
        </is>
      </c>
      <c r="AE79" s="16" t="inlineStr">
        <is>
          <t>Bus Kokedera/Suzumushi-dera</t>
        </is>
      </c>
      <c r="AF79" s="16" t="inlineStr">
        <is>
          <t>Parcial; pueden existir escalones, grava o edificios sin elevador</t>
        </is>
      </c>
      <c r="AG79" s="90" t="n">
        <v>34.9911</v>
      </c>
      <c r="AH79" s="90" t="n">
        <v>135.6846</v>
      </c>
      <c r="AI79" s="16" t="inlineStr">
        <is>
          <t>https://saihoji-kokedera.com/en/</t>
        </is>
      </c>
      <c r="AJ79" s="16" t="inlineStr">
        <is>
          <t>Cambiante</t>
        </is>
      </c>
      <c r="AK79" s="16" t="inlineStr">
        <is>
          <t>RESERVE / GARDEN</t>
        </is>
      </c>
      <c r="AL79" s="16" t="inlineStr">
        <is>
          <t>pareja, jardines, cultura</t>
        </is>
      </c>
      <c r="AM79" s="91" t="n">
        <v>5</v>
      </c>
      <c r="AN79" s="91" t="n">
        <v>5</v>
      </c>
      <c r="AO79" s="91" t="n">
        <v>3</v>
      </c>
      <c r="AP79" s="91" t="n">
        <v>2</v>
      </c>
      <c r="AQ79" s="16" t="inlineStr">
        <is>
          <t>Imagen ideal: la reserva y ritual filtran multitudes y cambian el ritmo de visita. con luz de mañana, sin multitudes dominando el encuadre.</t>
        </is>
      </c>
      <c r="AR79" s="16" t="inlineStr">
        <is>
          <t>Katsura Imperial Villa (~33 min en transporte) | Kyoto Rakusai Bamboo Park (~50 min en transporte)</t>
        </is>
      </c>
      <c r="AS79" s="16" t="inlineStr">
        <is>
          <t>Lugar conocido pero excelente</t>
        </is>
      </c>
      <c r="AT79" s="16" t="str"/>
      <c r="AU79" s="16" t="inlineStr">
        <is>
          <t>https://www.google.com/maps/search/?api=1&amp;query=Saiho-ji%20(Koke-dera)%2C%20Kyoto%2C%20Japan</t>
        </is>
      </c>
      <c r="AV79" s="16" t="inlineStr">
        <is>
          <t>2026-09-01</t>
        </is>
      </c>
      <c r="AW79" s="16" t="inlineStr">
        <is>
          <t>CALENDARIO / CONDICIÓN PENDIENTE</t>
        </is>
      </c>
      <c r="AX79" s="16" t="inlineStr">
        <is>
          <t>No hay cierre específico confirmado para la ventana, pero horarios o acceso pueden variar.</t>
        </is>
      </c>
      <c r="AY79" s="16" t="inlineStr">
        <is>
          <t>Reconfirmar en la web oficial al fijar fechas.</t>
        </is>
      </c>
    </row>
    <row r="80" ht="66" customHeight="1">
      <c r="A80" s="16" t="inlineStr">
        <is>
          <t>JP-079</t>
        </is>
      </c>
      <c r="B80" s="16" t="inlineStr">
        <is>
          <t>Kioto</t>
        </is>
      </c>
      <c r="C80" s="16" t="inlineStr">
        <is>
          <t>Kansai</t>
        </is>
      </c>
      <c r="D80" s="16" t="inlineStr">
        <is>
          <t>Kioto</t>
        </is>
      </c>
      <c r="E80" s="16" t="inlineStr">
        <is>
          <t>Kyoto</t>
        </is>
      </c>
      <c r="F80" s="16" t="inlineStr">
        <is>
          <t>Nishikyo</t>
        </is>
      </c>
      <c r="G80" s="16" t="inlineStr">
        <is>
          <t>Nishikyo</t>
        </is>
      </c>
      <c r="H80" s="16" t="inlineStr">
        <is>
          <t>Kyoto Rakusai Bamboo Park</t>
        </is>
      </c>
      <c r="I80" s="16" t="inlineStr">
        <is>
          <t>京都市洛西竹林公園</t>
        </is>
      </c>
      <c r="J80" s="16" t="inlineStr">
        <is>
          <t>Kyoto Rakusai Bamboo Park</t>
        </is>
      </c>
      <c r="K80" s="16" t="inlineStr">
        <is>
          <t>🌿 Naturaleza</t>
        </is>
      </c>
      <c r="L80" s="16" t="inlineStr">
        <is>
          <t>jardín/museo de bambú</t>
        </is>
      </c>
      <c r="M80" s="16" t="inlineStr">
        <is>
          <t>A</t>
        </is>
      </c>
      <c r="N80" s="16" t="inlineStr">
        <is>
          <t>Alternativa real con 110 variedades y un paseo de bambú largo y tranquilo.</t>
        </is>
      </c>
      <c r="O80" s="16" t="inlineStr">
        <is>
          <t>Parque gratuito especializado en bambú y museo.</t>
        </is>
      </c>
      <c r="P80" s="16" t="inlineStr">
        <is>
          <t>Es botánico y local, no una sola calle para fotos.</t>
        </is>
      </c>
      <c r="Q80" s="16" t="inlineStr">
        <is>
          <t>Parque gratuito especializado en bambú y museo.</t>
        </is>
      </c>
      <c r="R80" s="16" t="inlineStr">
        <is>
          <t>1.5–3 h</t>
        </is>
      </c>
      <c r="S80" s="16" t="inlineStr">
        <is>
          <t>Mañana</t>
        </is>
      </c>
      <c r="T80" s="16" t="inlineStr">
        <is>
          <t>Todo el año</t>
        </is>
      </c>
      <c r="U80" s="16" t="inlineStr">
        <is>
          <t>Bajo</t>
        </is>
      </c>
      <c r="V80" s="16" t="inlineStr">
        <is>
          <t>Bajo</t>
        </is>
      </c>
      <c r="W80" s="89" t="n">
        <v>0</v>
      </c>
      <c r="X80" s="89" t="n">
        <v>0</v>
      </c>
      <c r="Y80" s="89">
        <f>W80*'Configuración'!$B$4</f>
        <v/>
      </c>
      <c r="Z80" s="89">
        <f>X80*'Configuración'!$B$4</f>
        <v/>
      </c>
      <c r="AA80" s="16" t="inlineStr">
        <is>
          <t>No</t>
        </is>
      </c>
      <c r="AB80" s="16" t="inlineStr">
        <is>
          <t>—</t>
        </is>
      </c>
      <c r="AC80" s="16" t="inlineStr">
        <is>
          <t>09:00–17:00 aprox.</t>
        </is>
      </c>
      <c r="AD80" s="16" t="inlineStr">
        <is>
          <t>Miércoles y fin de año; verificar</t>
        </is>
      </c>
      <c r="AE80" s="16" t="inlineStr">
        <is>
          <t>Rakusai-guchi + bus/bici</t>
        </is>
      </c>
      <c r="AF80" s="16" t="inlineStr">
        <is>
          <t>Parcial; pueden existir escalones, grava o edificios sin elevador</t>
        </is>
      </c>
      <c r="AG80" s="90" t="n">
        <v>34.9589</v>
      </c>
      <c r="AH80" s="90" t="n">
        <v>135.6801</v>
      </c>
      <c r="AI80" s="16" t="inlineStr">
        <is>
          <t>https://kyoto.travel/en/hidden-gems/hidden-gems-of-kyoto-nishikyo/</t>
        </is>
      </c>
      <c r="AJ80" s="16" t="inlineStr">
        <is>
          <t>Cambiante</t>
        </is>
      </c>
      <c r="AK80" s="16" t="inlineStr">
        <is>
          <t>HIDDEN GEM</t>
        </is>
      </c>
      <c r="AL80" s="16" t="inlineStr">
        <is>
          <t>naturaleza, fotografía, diseño</t>
        </is>
      </c>
      <c r="AM80" s="91" t="n">
        <v>4</v>
      </c>
      <c r="AN80" s="91" t="n">
        <v>5</v>
      </c>
      <c r="AO80" s="91" t="n">
        <v>5</v>
      </c>
      <c r="AP80" s="91" t="n">
        <v>1</v>
      </c>
      <c r="AQ80" s="16" t="inlineStr">
        <is>
          <t>Imagen ideal: es botánico y local, no una sola calle para fotos. con luz de mañana, sin multitudes dominando el encuadre.</t>
        </is>
      </c>
      <c r="AR80" s="16" t="inlineStr">
        <is>
          <t>Saiho-ji (Koke-dera) (~50 min en transporte) | Katsura Imperial Villa (~53 min en transporte)</t>
        </is>
      </c>
      <c r="AS80" s="16" t="inlineStr">
        <is>
          <t>Alternativa menos saturada</t>
        </is>
      </c>
      <c r="AT80" s="16" t="inlineStr">
        <is>
          <t>Arashiyama Bamboo Grove</t>
        </is>
      </c>
      <c r="AU80" s="16" t="inlineStr">
        <is>
          <t>https://www.google.com/maps/search/?api=1&amp;query=Kyoto%20Rakusai%20Bamboo%20Park%2C%20Kyoto%2C%20Japan</t>
        </is>
      </c>
      <c r="AV80" s="16" t="inlineStr">
        <is>
          <t>2026-09-01</t>
        </is>
      </c>
      <c r="AW80" s="16" t="inlineStr">
        <is>
          <t>CALENDARIO / CONDICIÓN PENDIENTE</t>
        </is>
      </c>
      <c r="AX80" s="16" t="inlineStr">
        <is>
          <t>No hay cierre específico confirmado para la ventana, pero horarios o acceso pueden variar.</t>
        </is>
      </c>
      <c r="AY80" s="16" t="inlineStr">
        <is>
          <t>Reconfirmar en la web oficial al fijar fechas.</t>
        </is>
      </c>
    </row>
    <row r="81" ht="66" customHeight="1">
      <c r="A81" s="16" t="inlineStr">
        <is>
          <t>JP-080</t>
        </is>
      </c>
      <c r="B81" s="16" t="inlineStr">
        <is>
          <t>Kioto</t>
        </is>
      </c>
      <c r="C81" s="16" t="inlineStr">
        <is>
          <t>Kansai</t>
        </is>
      </c>
      <c r="D81" s="16" t="inlineStr">
        <is>
          <t>Kioto</t>
        </is>
      </c>
      <c r="E81" s="16" t="inlineStr">
        <is>
          <t>Kyoto</t>
        </is>
      </c>
      <c r="F81" s="16" t="inlineStr">
        <is>
          <t>Kinugasa</t>
        </is>
      </c>
      <c r="G81" s="16" t="inlineStr">
        <is>
          <t>North Kyoto</t>
        </is>
      </c>
      <c r="H81" s="16" t="inlineStr">
        <is>
          <t>Kinkaku-ji</t>
        </is>
      </c>
      <c r="I81" s="16" t="inlineStr">
        <is>
          <t>金閣寺</t>
        </is>
      </c>
      <c r="J81" s="16" t="inlineStr">
        <is>
          <t>Kinkaku-ji</t>
        </is>
      </c>
      <c r="K81" s="16" t="inlineStr">
        <is>
          <t>⛩️ Templos y santuarios</t>
        </is>
      </c>
      <c r="L81" s="16" t="inlineStr">
        <is>
          <t>templo/jardín</t>
        </is>
      </c>
      <c r="M81" s="16" t="inlineStr">
        <is>
          <t>B</t>
        </is>
      </c>
      <c r="N81" s="16" t="inlineStr">
        <is>
          <t>La imagen es única, pero el recorrido es unidireccional y muy saturado. Clasificación v2: recomendable si encaja; su valor depende más de interés, saturación o logística.</t>
        </is>
      </c>
      <c r="O81" s="16" t="inlineStr">
        <is>
          <t>Pabellón dorado reflejado en un estanque dentro de un jardín.</t>
        </is>
      </c>
      <c r="P81" s="16" t="inlineStr">
        <is>
          <t>Es una obra visual instantánea más que una experiencia contemplativa larga.</t>
        </is>
      </c>
      <c r="Q81" s="16" t="inlineStr">
        <is>
          <t>Pabellón dorado reflejado en un estanque dentro de un jardín.</t>
        </is>
      </c>
      <c r="R81" s="16" t="inlineStr">
        <is>
          <t>45–90 min</t>
        </is>
      </c>
      <c r="S81" s="16" t="inlineStr">
        <is>
          <t>Mañana</t>
        </is>
      </c>
      <c r="T81" s="16" t="inlineStr">
        <is>
          <t>Invierno con nieve; todo el año</t>
        </is>
      </c>
      <c r="U81" s="16" t="inlineStr">
        <is>
          <t>Extremo</t>
        </is>
      </c>
      <c r="V81" s="16" t="inlineStr">
        <is>
          <t>Extremo</t>
        </is>
      </c>
      <c r="W81" s="89" t="n">
        <v>500</v>
      </c>
      <c r="X81" s="89" t="n">
        <v>500</v>
      </c>
      <c r="Y81" s="89">
        <f>W81*'Configuración'!$B$4</f>
        <v/>
      </c>
      <c r="Z81" s="89">
        <f>X81*'Configuración'!$B$4</f>
        <v/>
      </c>
      <c r="AA81" s="16" t="inlineStr">
        <is>
          <t>No</t>
        </is>
      </c>
      <c r="AB81" s="16" t="inlineStr">
        <is>
          <t>—</t>
        </is>
      </c>
      <c r="AC81" s="16" t="inlineStr">
        <is>
          <t>09:00–17:00</t>
        </is>
      </c>
      <c r="AD81" s="16" t="inlineStr">
        <is>
          <t>Sin cierre ordinario</t>
        </is>
      </c>
      <c r="AE81" s="16" t="inlineStr">
        <is>
          <t>Bus Kinkakuji-michi</t>
        </is>
      </c>
      <c r="AF81" s="16" t="inlineStr">
        <is>
          <t>Parcial; pueden existir escalones, grava o edificios sin elevador</t>
        </is>
      </c>
      <c r="AG81" s="90" t="n">
        <v>35.0394</v>
      </c>
      <c r="AH81" s="90" t="n">
        <v>135.7292</v>
      </c>
      <c r="AI81" s="16" t="inlineStr">
        <is>
          <t>https://www.shokoku-ji.jp/en/kinkakuji/</t>
        </is>
      </c>
      <c r="AJ81" s="16" t="inlineStr">
        <is>
          <t>Cambiante</t>
        </is>
      </c>
      <c r="AK81" s="16" t="inlineStr">
        <is>
          <t>ICON</t>
        </is>
      </c>
      <c r="AL81" s="16" t="inlineStr">
        <is>
          <t>fotografía, arquitectura, cultura</t>
        </is>
      </c>
      <c r="AM81" s="91" t="n">
        <v>5</v>
      </c>
      <c r="AN81" s="91" t="n">
        <v>3</v>
      </c>
      <c r="AO81" s="91" t="n">
        <v>3</v>
      </c>
      <c r="AP81" s="91" t="n">
        <v>5</v>
      </c>
      <c r="AQ81" s="16" t="inlineStr">
        <is>
          <t>Imagen ideal: es una obra visual instantánea más que una experiencia contemplativa larga. con luz de mañana, sin multitudes dominando el encuadre.</t>
        </is>
      </c>
      <c r="AR81" s="16" t="inlineStr">
        <is>
          <t>Ryōan-ji (~16 min a pie) | Genkō-an (~21 min a pie) | Daitoku-ji subtemples (~23 min a pie)</t>
        </is>
      </c>
      <c r="AS81" s="16" t="inlineStr">
        <is>
          <t>Popular / turístico</t>
        </is>
      </c>
      <c r="AT81" s="16" t="str"/>
      <c r="AU81" s="16" t="inlineStr">
        <is>
          <t>https://www.google.com/maps/search/?api=1&amp;query=Kinkaku-ji%2C%20Kyoto%2C%20Japan</t>
        </is>
      </c>
      <c r="AV81" s="16" t="inlineStr">
        <is>
          <t>2026-09-01</t>
        </is>
      </c>
      <c r="AW81" s="16" t="inlineStr">
        <is>
          <t>CALENDARIO / CONDICIÓN PENDIENTE</t>
        </is>
      </c>
      <c r="AX81" s="16" t="inlineStr">
        <is>
          <t>No hay cierre específico confirmado para la ventana, pero horarios o acceso pueden variar.</t>
        </is>
      </c>
      <c r="AY81" s="16" t="inlineStr">
        <is>
          <t>Reconfirmar en la web oficial al fijar fechas.</t>
        </is>
      </c>
    </row>
    <row r="82" ht="66" customHeight="1">
      <c r="A82" s="16" t="inlineStr">
        <is>
          <t>JP-081</t>
        </is>
      </c>
      <c r="B82" s="16" t="inlineStr">
        <is>
          <t>Kioto</t>
        </is>
      </c>
      <c r="C82" s="16" t="inlineStr">
        <is>
          <t>Kansai</t>
        </is>
      </c>
      <c r="D82" s="16" t="inlineStr">
        <is>
          <t>Kioto</t>
        </is>
      </c>
      <c r="E82" s="16" t="inlineStr">
        <is>
          <t>Kyoto</t>
        </is>
      </c>
      <c r="F82" s="16" t="inlineStr">
        <is>
          <t>Kinugasa</t>
        </is>
      </c>
      <c r="G82" s="16" t="inlineStr">
        <is>
          <t>North Kyoto</t>
        </is>
      </c>
      <c r="H82" s="16" t="inlineStr">
        <is>
          <t>Ryōan-ji</t>
        </is>
      </c>
      <c r="I82" s="16" t="inlineStr">
        <is>
          <t>龍安寺</t>
        </is>
      </c>
      <c r="J82" s="16" t="inlineStr">
        <is>
          <t>Ryōan-ji</t>
        </is>
      </c>
      <c r="K82" s="16" t="inlineStr">
        <is>
          <t>🌸 Jardines y paisajes</t>
        </is>
      </c>
      <c r="L82" s="16" t="inlineStr">
        <is>
          <t>templo/jardín zen</t>
        </is>
      </c>
      <c r="M82" s="16" t="inlineStr">
        <is>
          <t>A</t>
        </is>
      </c>
      <c r="N82" s="16" t="inlineStr">
        <is>
          <t>El jardín seco canónico merece verse, aunque la contemplación depende de la hora.</t>
        </is>
      </c>
      <c r="O82" s="16" t="inlineStr">
        <is>
          <t>Templo con el jardín de rocas zen más famoso del mundo.</t>
        </is>
      </c>
      <c r="P82" s="16" t="inlineStr">
        <is>
          <t>Su ambigüedad espacial es la experiencia, no un relato histórico.</t>
        </is>
      </c>
      <c r="Q82" s="16" t="inlineStr">
        <is>
          <t>Templo con el jardín de rocas zen más famoso del mundo.</t>
        </is>
      </c>
      <c r="R82" s="16" t="inlineStr">
        <is>
          <t>1–1.5 h</t>
        </is>
      </c>
      <c r="S82" s="16" t="inlineStr">
        <is>
          <t>Mañana</t>
        </is>
      </c>
      <c r="T82" s="16" t="inlineStr">
        <is>
          <t>Todo el año</t>
        </is>
      </c>
      <c r="U82" s="16" t="inlineStr">
        <is>
          <t>Alto</t>
        </is>
      </c>
      <c r="V82" s="16" t="inlineStr">
        <is>
          <t>Alto</t>
        </is>
      </c>
      <c r="W82" s="89" t="n">
        <v>600</v>
      </c>
      <c r="X82" s="89" t="n">
        <v>600</v>
      </c>
      <c r="Y82" s="89">
        <f>W82*'Configuración'!$B$4</f>
        <v/>
      </c>
      <c r="Z82" s="89">
        <f>X82*'Configuración'!$B$4</f>
        <v/>
      </c>
      <c r="AA82" s="16" t="inlineStr">
        <is>
          <t>No</t>
        </is>
      </c>
      <c r="AB82" s="16" t="inlineStr">
        <is>
          <t>—</t>
        </is>
      </c>
      <c r="AC82" s="16" t="inlineStr">
        <is>
          <t>08:00–17:00 según temporada</t>
        </is>
      </c>
      <c r="AD82" s="16" t="inlineStr">
        <is>
          <t>Sin cierre ordinario</t>
        </is>
      </c>
      <c r="AE82" s="16" t="inlineStr">
        <is>
          <t>Randen Ryoanji / bus</t>
        </is>
      </c>
      <c r="AF82" s="16" t="inlineStr">
        <is>
          <t>Parcial; pueden existir escalones, grava o edificios sin elevador</t>
        </is>
      </c>
      <c r="AG82" s="90" t="n">
        <v>35.0345</v>
      </c>
      <c r="AH82" s="90" t="n">
        <v>135.7183</v>
      </c>
      <c r="AI82" s="16" t="inlineStr">
        <is>
          <t>http://www.ryoanji.jp/smph/eng/</t>
        </is>
      </c>
      <c r="AJ82" s="16" t="inlineStr">
        <is>
          <t>Cambiante</t>
        </is>
      </c>
      <c r="AK82" s="16" t="inlineStr">
        <is>
          <t>ZEN</t>
        </is>
      </c>
      <c r="AL82" s="16" t="inlineStr">
        <is>
          <t>diseño, cultura, jardines</t>
        </is>
      </c>
      <c r="AM82" s="91" t="n">
        <v>4</v>
      </c>
      <c r="AN82" s="91" t="n">
        <v>5</v>
      </c>
      <c r="AO82" s="91" t="n">
        <v>4</v>
      </c>
      <c r="AP82" s="91" t="n">
        <v>4</v>
      </c>
      <c r="AQ82" s="16" t="inlineStr">
        <is>
          <t>Imagen ideal: su ambigüedad espacial es la experiencia, no un relato histórico. con luz de mañana, sin multitudes dominando el encuadre.</t>
        </is>
      </c>
      <c r="AR82" s="16" t="inlineStr">
        <is>
          <t>Kinkaku-ji (~16 min a pie) | Uzumasa Kyoto Village / Toei Kyoto Studio Park (~31 min en transporte) | Genkō-an (~35 min en transporte)</t>
        </is>
      </c>
      <c r="AS82" s="16" t="inlineStr">
        <is>
          <t>Popular / turístico</t>
        </is>
      </c>
      <c r="AT82" s="16" t="str"/>
      <c r="AU82" s="16" t="inlineStr">
        <is>
          <t>https://www.google.com/maps/search/?api=1&amp;query=Ry%C5%8Dan-ji%2C%20Kyoto%2C%20Japan</t>
        </is>
      </c>
      <c r="AV82" s="16" t="inlineStr">
        <is>
          <t>2026-09-01</t>
        </is>
      </c>
      <c r="AW82" s="16" t="inlineStr">
        <is>
          <t>CALENDARIO / CONDICIÓN PENDIENTE</t>
        </is>
      </c>
      <c r="AX82" s="16" t="inlineStr">
        <is>
          <t>No hay cierre específico confirmado para la ventana, pero horarios o acceso pueden variar.</t>
        </is>
      </c>
      <c r="AY82" s="16" t="inlineStr">
        <is>
          <t>Reconfirmar en la web oficial al fijar fechas.</t>
        </is>
      </c>
    </row>
    <row r="83" ht="66" customHeight="1">
      <c r="A83" s="16" t="inlineStr">
        <is>
          <t>JP-082</t>
        </is>
      </c>
      <c r="B83" s="16" t="inlineStr">
        <is>
          <t>Kioto</t>
        </is>
      </c>
      <c r="C83" s="16" t="inlineStr">
        <is>
          <t>Kansai</t>
        </is>
      </c>
      <c r="D83" s="16" t="inlineStr">
        <is>
          <t>Kioto</t>
        </is>
      </c>
      <c r="E83" s="16" t="inlineStr">
        <is>
          <t>Kyoto</t>
        </is>
      </c>
      <c r="F83" s="16" t="inlineStr">
        <is>
          <t>Murasakino</t>
        </is>
      </c>
      <c r="G83" s="16" t="inlineStr">
        <is>
          <t>North Kyoto</t>
        </is>
      </c>
      <c r="H83" s="16" t="inlineStr">
        <is>
          <t>Daitoku-ji subtemples</t>
        </is>
      </c>
      <c r="I83" s="16" t="inlineStr">
        <is>
          <t>大徳寺塔頭</t>
        </is>
      </c>
      <c r="J83" s="16" t="inlineStr">
        <is>
          <t>Daitoku-ji subtemples</t>
        </is>
      </c>
      <c r="K83" s="16" t="inlineStr">
        <is>
          <t>⛩️ Templos y santuarios</t>
        </is>
      </c>
      <c r="L83" s="16" t="inlineStr">
        <is>
          <t>complejo zen</t>
        </is>
      </c>
      <c r="M83" s="16" t="inlineStr">
        <is>
          <t>A</t>
        </is>
      </c>
      <c r="N83" s="16" t="inlineStr">
        <is>
          <t>La mejor área para profundizar en jardines zen sin multitudes constantes. Clasificación v2: excelente y muy recomendable, pero no justifica por sí sola adaptar la ruta.</t>
        </is>
      </c>
      <c r="O83" s="16" t="inlineStr">
        <is>
          <t>Gran monasterio con subtemplos de aperturas y jardines distintos.</t>
        </is>
      </c>
      <c r="P83" s="16" t="inlineStr">
        <is>
          <t>La selección de un subtemplo cambia la experiencia; no es un circuito masivo.</t>
        </is>
      </c>
      <c r="Q83" s="16" t="inlineStr">
        <is>
          <t>Gran monasterio con subtemplos de aperturas y jardines distintos.</t>
        </is>
      </c>
      <c r="R83" s="16" t="inlineStr">
        <is>
          <t>2–4 h</t>
        </is>
      </c>
      <c r="S83" s="16" t="inlineStr">
        <is>
          <t>Mañana</t>
        </is>
      </c>
      <c r="T83" s="16" t="inlineStr">
        <is>
          <t>Todo el año; otoño</t>
        </is>
      </c>
      <c r="U83" s="16" t="inlineStr">
        <is>
          <t>Bajo</t>
        </is>
      </c>
      <c r="V83" s="16" t="inlineStr">
        <is>
          <t>Bajo</t>
        </is>
      </c>
      <c r="W83" s="89" t="n">
        <v>0</v>
      </c>
      <c r="X83" s="89" t="n">
        <v>2000</v>
      </c>
      <c r="Y83" s="89">
        <f>W83*'Configuración'!$B$4</f>
        <v/>
      </c>
      <c r="Z83" s="89">
        <f>X83*'Configuración'!$B$4</f>
        <v/>
      </c>
      <c r="AA83" s="16" t="inlineStr">
        <is>
          <t>No</t>
        </is>
      </c>
      <c r="AB83" s="16" t="inlineStr">
        <is>
          <t>—</t>
        </is>
      </c>
      <c r="AC83" s="16" t="inlineStr">
        <is>
          <t>Subtemplos y aperturas variables</t>
        </is>
      </c>
      <c r="AD83" s="16" t="inlineStr">
        <is>
          <t>Muchos cierres/aperturas especiales</t>
        </is>
      </c>
      <c r="AE83" s="16" t="inlineStr">
        <is>
          <t>Bus Daitokuji-mae</t>
        </is>
      </c>
      <c r="AF83" s="16" t="inlineStr">
        <is>
          <t>Buena en áreas principales; confirmar detalles con el recinto</t>
        </is>
      </c>
      <c r="AG83" s="90" t="n">
        <v>35.0439</v>
      </c>
      <c r="AH83" s="90" t="n">
        <v>135.7464</v>
      </c>
      <c r="AI83" s="16" t="inlineStr">
        <is>
          <t>https://kyoto.travel/en/</t>
        </is>
      </c>
      <c r="AJ83" s="16" t="inlineStr">
        <is>
          <t>Cambiante</t>
        </is>
      </c>
      <c r="AK83" s="16" t="inlineStr">
        <is>
          <t>HIDDEN GEM</t>
        </is>
      </c>
      <c r="AL83" s="16" t="inlineStr">
        <is>
          <t>jardines, cultura, arquitectura</t>
        </is>
      </c>
      <c r="AM83" s="91" t="n">
        <v>5</v>
      </c>
      <c r="AN83" s="91" t="n">
        <v>5</v>
      </c>
      <c r="AO83" s="91" t="n">
        <v>5</v>
      </c>
      <c r="AP83" s="91" t="n">
        <v>1</v>
      </c>
      <c r="AQ83" s="16" t="inlineStr">
        <is>
          <t>Imagen ideal: la selección de un subtemplo cambia la experiencia; no es un circuito masivo. con luz de mañana, sin multitudes dominando el encuadre.</t>
        </is>
      </c>
      <c r="AR83" s="16" t="inlineStr">
        <is>
          <t>Genkō-an (~18 min a pie) | Kinkaku-ji (~23 min a pie) | Ryōan-ji (~39 min en transporte)</t>
        </is>
      </c>
      <c r="AS83" s="16" t="inlineStr">
        <is>
          <t>Hidden Gem real</t>
        </is>
      </c>
      <c r="AT83" s="16" t="str"/>
      <c r="AU83" s="16" t="inlineStr">
        <is>
          <t>https://www.google.com/maps/search/?api=1&amp;query=Daitoku-ji%20subtemples%2C%20Kyoto%2C%20Japan</t>
        </is>
      </c>
      <c r="AV83" s="16" t="inlineStr">
        <is>
          <t>2026-09-01</t>
        </is>
      </c>
      <c r="AW83" s="16" t="inlineStr">
        <is>
          <t>CALENDARIO / CONDICIÓN PENDIENTE</t>
        </is>
      </c>
      <c r="AX83" s="16" t="inlineStr">
        <is>
          <t>No hay cierre específico confirmado para la ventana, pero horarios o acceso pueden variar.</t>
        </is>
      </c>
      <c r="AY83" s="16" t="inlineStr">
        <is>
          <t>Reconfirmar en la web oficial al fijar fechas.</t>
        </is>
      </c>
    </row>
    <row r="84" ht="66" customHeight="1">
      <c r="A84" s="16" t="inlineStr">
        <is>
          <t>JP-083</t>
        </is>
      </c>
      <c r="B84" s="16" t="inlineStr">
        <is>
          <t>Kioto</t>
        </is>
      </c>
      <c r="C84" s="16" t="inlineStr">
        <is>
          <t>Kansai</t>
        </is>
      </c>
      <c r="D84" s="16" t="inlineStr">
        <is>
          <t>Kioto</t>
        </is>
      </c>
      <c r="E84" s="16" t="inlineStr">
        <is>
          <t>Kyoto</t>
        </is>
      </c>
      <c r="F84" s="16" t="inlineStr">
        <is>
          <t>Takagamine</t>
        </is>
      </c>
      <c r="G84" s="16" t="inlineStr">
        <is>
          <t>North Kyoto</t>
        </is>
      </c>
      <c r="H84" s="16" t="inlineStr">
        <is>
          <t>Genkō-an</t>
        </is>
      </c>
      <c r="I84" s="16" t="inlineStr">
        <is>
          <t>源光庵</t>
        </is>
      </c>
      <c r="J84" s="16" t="inlineStr">
        <is>
          <t>Genkō-an</t>
        </is>
      </c>
      <c r="K84" s="16" t="inlineStr">
        <is>
          <t>⛩️ Templos y santuarios</t>
        </is>
      </c>
      <c r="L84" s="16" t="inlineStr">
        <is>
          <t>templo</t>
        </is>
      </c>
      <c r="M84" s="16" t="inlineStr">
        <is>
          <t>A</t>
        </is>
      </c>
      <c r="N84" s="16" t="inlineStr">
        <is>
          <t>Las ventanas circular y cuadrada enmarcan una experiencia visual y filosófica memorable.</t>
        </is>
      </c>
      <c r="O84" s="16" t="inlineStr">
        <is>
          <t>Templo sereno conocido por las ventanas de iluminación y confusión.</t>
        </is>
      </c>
      <c r="P84" s="16" t="inlineStr">
        <is>
          <t>Arquitectura simple convierte el jardín en dos imágenes conceptuales.</t>
        </is>
      </c>
      <c r="Q84" s="16" t="inlineStr">
        <is>
          <t>Templo sereno conocido por las ventanas de iluminación y confusión.</t>
        </is>
      </c>
      <c r="R84" s="16" t="inlineStr">
        <is>
          <t>45–75 min</t>
        </is>
      </c>
      <c r="S84" s="16" t="inlineStr">
        <is>
          <t>Mañana</t>
        </is>
      </c>
      <c r="T84" s="16" t="inlineStr">
        <is>
          <t>Otoño</t>
        </is>
      </c>
      <c r="U84" s="16" t="inlineStr">
        <is>
          <t>Medio</t>
        </is>
      </c>
      <c r="V84" s="16" t="inlineStr">
        <is>
          <t>Bajo</t>
        </is>
      </c>
      <c r="W84" s="89" t="n">
        <v>500</v>
      </c>
      <c r="X84" s="89" t="n">
        <v>500</v>
      </c>
      <c r="Y84" s="89">
        <f>W84*'Configuración'!$B$4</f>
        <v/>
      </c>
      <c r="Z84" s="89">
        <f>X84*'Configuración'!$B$4</f>
        <v/>
      </c>
      <c r="AA84" s="16" t="inlineStr">
        <is>
          <t>No</t>
        </is>
      </c>
      <c r="AB84" s="16" t="inlineStr">
        <is>
          <t>—</t>
        </is>
      </c>
      <c r="AC84" s="16" t="inlineStr">
        <is>
          <t>09:00–17:00 aprox.</t>
        </is>
      </c>
      <c r="AD84" s="16" t="inlineStr">
        <is>
          <t>Variable</t>
        </is>
      </c>
      <c r="AE84" s="16" t="inlineStr">
        <is>
          <t>Bus Takagamine Genkoan-mae</t>
        </is>
      </c>
      <c r="AF84" s="16" t="inlineStr">
        <is>
          <t>Parcial; pueden existir escalones, grava o edificios sin elevador</t>
        </is>
      </c>
      <c r="AG84" s="90" t="n">
        <v>35.0519</v>
      </c>
      <c r="AH84" s="90" t="n">
        <v>135.7363</v>
      </c>
      <c r="AI84" s="16" t="inlineStr">
        <is>
          <t>https://kyoto.travel/en/destinations/genko-an-temple/</t>
        </is>
      </c>
      <c r="AJ84" s="16" t="inlineStr">
        <is>
          <t>Cambiante</t>
        </is>
      </c>
      <c r="AK84" s="16" t="inlineStr">
        <is>
          <t>HIDDEN GEM</t>
        </is>
      </c>
      <c r="AL84" s="16" t="inlineStr">
        <is>
          <t>fotografía, cultura, diseño</t>
        </is>
      </c>
      <c r="AM84" s="91" t="n">
        <v>5</v>
      </c>
      <c r="AN84" s="91" t="n">
        <v>5</v>
      </c>
      <c r="AO84" s="91" t="n">
        <v>5</v>
      </c>
      <c r="AP84" s="91" t="n">
        <v>1</v>
      </c>
      <c r="AQ84" s="16" t="inlineStr">
        <is>
          <t>Imagen ideal: arquitectura simple convierte el jardín en dos imágenes conceptuales. con luz de mañana, sin multitudes dominando el encuadre.</t>
        </is>
      </c>
      <c r="AR84" s="16" t="inlineStr">
        <is>
          <t>Daitoku-ji subtemples (~18 min a pie) | Kinkaku-ji (~21 min a pie) | Ryōan-ji (~35 min en transporte)</t>
        </is>
      </c>
      <c r="AS84" s="16" t="inlineStr">
        <is>
          <t>Hidden Gem real</t>
        </is>
      </c>
      <c r="AT84" s="16" t="str"/>
      <c r="AU84" s="16" t="inlineStr">
        <is>
          <t>https://www.google.com/maps/search/?api=1&amp;query=Genk%C5%8D-an%2C%20Kyoto%2C%20Japan</t>
        </is>
      </c>
      <c r="AV84" s="16" t="inlineStr">
        <is>
          <t>2026-09-01</t>
        </is>
      </c>
      <c r="AW84" s="16" t="inlineStr">
        <is>
          <t>CALENDARIO / CONDICIÓN PENDIENTE</t>
        </is>
      </c>
      <c r="AX84" s="16" t="inlineStr">
        <is>
          <t>No hay cierre específico confirmado para la ventana, pero horarios o acceso pueden variar.</t>
        </is>
      </c>
      <c r="AY84" s="16" t="inlineStr">
        <is>
          <t>Reconfirmar en la web oficial al fijar fechas.</t>
        </is>
      </c>
    </row>
    <row r="85" ht="66" customHeight="1">
      <c r="A85" s="16" t="inlineStr">
        <is>
          <t>JP-084</t>
        </is>
      </c>
      <c r="B85" s="16" t="inlineStr">
        <is>
          <t>Kioto</t>
        </is>
      </c>
      <c r="C85" s="16" t="inlineStr">
        <is>
          <t>Kansai</t>
        </is>
      </c>
      <c r="D85" s="16" t="inlineStr">
        <is>
          <t>Kioto</t>
        </is>
      </c>
      <c r="E85" s="16" t="inlineStr">
        <is>
          <t>Kyoto</t>
        </is>
      </c>
      <c r="F85" s="16" t="inlineStr">
        <is>
          <t>Sakyo</t>
        </is>
      </c>
      <c r="G85" s="16" t="inlineStr">
        <is>
          <t>North Kyoto</t>
        </is>
      </c>
      <c r="H85" s="16" t="inlineStr">
        <is>
          <t>Shisen-dō</t>
        </is>
      </c>
      <c r="I85" s="16" t="inlineStr">
        <is>
          <t>詩仙堂</t>
        </is>
      </c>
      <c r="J85" s="16" t="inlineStr">
        <is>
          <t>Shisen-dō</t>
        </is>
      </c>
      <c r="K85" s="16" t="inlineStr">
        <is>
          <t>🌸 Jardines y paisajes</t>
        </is>
      </c>
      <c r="L85" s="16" t="inlineStr">
        <is>
          <t>villa/templo</t>
        </is>
      </c>
      <c r="M85" s="16" t="inlineStr">
        <is>
          <t>A</t>
        </is>
      </c>
      <c r="N85" s="16" t="inlineStr">
        <is>
          <t>Jardín íntimo, sonido de shishi-odoshi y baja densidad turística.</t>
        </is>
      </c>
      <c r="O85" s="16" t="inlineStr">
        <is>
          <t>Retiro literario del siglo XVII con jardín de azaleas.</t>
        </is>
      </c>
      <c r="P85" s="16" t="inlineStr">
        <is>
          <t>La experiencia sonora y doméstica contrasta con los grandes templos.</t>
        </is>
      </c>
      <c r="Q85" s="16" t="inlineStr">
        <is>
          <t>Retiro literario del siglo XVII con jardín de azaleas.</t>
        </is>
      </c>
      <c r="R85" s="16" t="inlineStr">
        <is>
          <t>1–1.5 h</t>
        </is>
      </c>
      <c r="S85" s="16" t="inlineStr">
        <is>
          <t>Mañana</t>
        </is>
      </c>
      <c r="T85" s="16" t="inlineStr">
        <is>
          <t>Mayo y otoño</t>
        </is>
      </c>
      <c r="U85" s="16" t="inlineStr">
        <is>
          <t>Bajo</t>
        </is>
      </c>
      <c r="V85" s="16" t="inlineStr">
        <is>
          <t>Bajo</t>
        </is>
      </c>
      <c r="W85" s="89" t="n">
        <v>500</v>
      </c>
      <c r="X85" s="89" t="n">
        <v>500</v>
      </c>
      <c r="Y85" s="89">
        <f>W85*'Configuración'!$B$4</f>
        <v/>
      </c>
      <c r="Z85" s="89">
        <f>X85*'Configuración'!$B$4</f>
        <v/>
      </c>
      <c r="AA85" s="16" t="inlineStr">
        <is>
          <t>No</t>
        </is>
      </c>
      <c r="AB85" s="16" t="inlineStr">
        <is>
          <t>—</t>
        </is>
      </c>
      <c r="AC85" s="16" t="inlineStr">
        <is>
          <t>09:00–17:00</t>
        </is>
      </c>
      <c r="AD85" s="16" t="inlineStr">
        <is>
          <t>23 mayo y cierres; verificar</t>
        </is>
      </c>
      <c r="AE85" s="16" t="inlineStr">
        <is>
          <t>Bus Ichijoji-sagarimatsucho</t>
        </is>
      </c>
      <c r="AF85" s="16" t="inlineStr">
        <is>
          <t>Parcial; pueden existir escalones, grava o edificios sin elevador</t>
        </is>
      </c>
      <c r="AG85" s="90" t="n">
        <v>35.043</v>
      </c>
      <c r="AH85" s="90" t="n">
        <v>135.8003</v>
      </c>
      <c r="AI85" s="16" t="inlineStr">
        <is>
          <t>https://kyoto.travel/en/</t>
        </is>
      </c>
      <c r="AJ85" s="16" t="inlineStr">
        <is>
          <t>Cambiante</t>
        </is>
      </c>
      <c r="AK85" s="16" t="inlineStr">
        <is>
          <t>HIDDEN GEM</t>
        </is>
      </c>
      <c r="AL85" s="16" t="inlineStr">
        <is>
          <t>pareja, jardines, cultura</t>
        </is>
      </c>
      <c r="AM85" s="91" t="n">
        <v>4</v>
      </c>
      <c r="AN85" s="91" t="n">
        <v>5</v>
      </c>
      <c r="AO85" s="91" t="n">
        <v>5</v>
      </c>
      <c r="AP85" s="91" t="n">
        <v>1</v>
      </c>
      <c r="AQ85" s="16" t="inlineStr">
        <is>
          <t>Imagen ideal: la experiencia sonora y doméstica contrasta con los grandes templos. con luz de mañana, sin multitudes dominando el encuadre.</t>
        </is>
      </c>
      <c r="AR85" s="16" t="inlineStr">
        <is>
          <t>Ginkaku-ji (~25 min a pie) | Philosopher's Path (~25 min en transporte) | Hōnen-in (~32 min en transporte)</t>
        </is>
      </c>
      <c r="AS85" s="16" t="inlineStr">
        <is>
          <t>Hidden Gem real</t>
        </is>
      </c>
      <c r="AT85" s="16" t="str"/>
      <c r="AU85" s="16" t="inlineStr">
        <is>
          <t>https://www.google.com/maps/search/?api=1&amp;query=Shisen-d%C5%8D%2C%20Kyoto%2C%20Japan</t>
        </is>
      </c>
      <c r="AV85" s="16" t="inlineStr">
        <is>
          <t>2026-09-01</t>
        </is>
      </c>
      <c r="AW85" s="16" t="inlineStr">
        <is>
          <t>CALENDARIO / CONDICIÓN PENDIENTE</t>
        </is>
      </c>
      <c r="AX85" s="16" t="inlineStr">
        <is>
          <t>No hay cierre específico confirmado para la ventana, pero horarios o acceso pueden variar.</t>
        </is>
      </c>
      <c r="AY85" s="16" t="inlineStr">
        <is>
          <t>Reconfirmar en la web oficial al fijar fechas.</t>
        </is>
      </c>
    </row>
    <row r="86" ht="66" customHeight="1">
      <c r="A86" s="16" t="inlineStr">
        <is>
          <t>JP-085</t>
        </is>
      </c>
      <c r="B86" s="16" t="inlineStr">
        <is>
          <t>Kioto</t>
        </is>
      </c>
      <c r="C86" s="16" t="inlineStr">
        <is>
          <t>Kansai</t>
        </is>
      </c>
      <c r="D86" s="16" t="inlineStr">
        <is>
          <t>Kioto</t>
        </is>
      </c>
      <c r="E86" s="16" t="inlineStr">
        <is>
          <t>Kyoto</t>
        </is>
      </c>
      <c r="F86" s="16" t="inlineStr">
        <is>
          <t>Kurama</t>
        </is>
      </c>
      <c r="G86" s="16" t="inlineStr">
        <is>
          <t>Kurama–Kibune</t>
        </is>
      </c>
      <c r="H86" s="16" t="inlineStr">
        <is>
          <t>Kurama-dera to Kibune hike</t>
        </is>
      </c>
      <c r="I86" s="16" t="inlineStr">
        <is>
          <t>鞍馬寺～貴船</t>
        </is>
      </c>
      <c r="J86" s="16" t="inlineStr">
        <is>
          <t>Kurama-dera to Kibune hike</t>
        </is>
      </c>
      <c r="K86" s="16" t="inlineStr">
        <is>
          <t>🥾 Senderismo/aventura</t>
        </is>
      </c>
      <c r="L86" s="16" t="inlineStr">
        <is>
          <t>sendero/templos</t>
        </is>
      </c>
      <c r="M86" s="16" t="inlineStr">
        <is>
          <t>A</t>
        </is>
      </c>
      <c r="N86" s="16" t="inlineStr">
        <is>
          <t>Une bosque sagrado, montaña y aldeas en una experiencia que no parece ciudad. Clasificación v2: excelente y muy recomendable, pero no justifica por sí sola adaptar la ruta.</t>
        </is>
      </c>
      <c r="O86" s="16" t="inlineStr">
        <is>
          <t>Ascenso por Kurama-dera y travesía forestal hacia Kibune.</t>
        </is>
      </c>
      <c r="P86" s="16" t="inlineStr">
        <is>
          <t>La secuencia espiritual y física es más rica que visitar ambos pueblos por separado.</t>
        </is>
      </c>
      <c r="Q86" s="16" t="inlineStr">
        <is>
          <t>Ascenso por Kurama-dera y travesía forestal hacia Kibune.</t>
        </is>
      </c>
      <c r="R86" s="16" t="inlineStr">
        <is>
          <t>4–6 h</t>
        </is>
      </c>
      <c r="S86" s="16" t="inlineStr">
        <is>
          <t>Mañana</t>
        </is>
      </c>
      <c r="T86" s="16" t="inlineStr">
        <is>
          <t>Primavera y otoño</t>
        </is>
      </c>
      <c r="U86" s="16" t="inlineStr">
        <is>
          <t>Medio</t>
        </is>
      </c>
      <c r="V86" s="16" t="inlineStr">
        <is>
          <t>Medio</t>
        </is>
      </c>
      <c r="W86" s="89" t="n">
        <v>500</v>
      </c>
      <c r="X86" s="89" t="n">
        <v>1000</v>
      </c>
      <c r="Y86" s="89">
        <f>W86*'Configuración'!$B$4</f>
        <v/>
      </c>
      <c r="Z86" s="89">
        <f>X86*'Configuración'!$B$4</f>
        <v/>
      </c>
      <c r="AA86" s="16" t="inlineStr">
        <is>
          <t>No</t>
        </is>
      </c>
      <c r="AB86" s="16" t="inlineStr">
        <is>
          <t>—</t>
        </is>
      </c>
      <c r="AC86" s="16" t="inlineStr">
        <is>
          <t>Sendero diurno; transporte variable</t>
        </is>
      </c>
      <c r="AD86" s="16" t="inlineStr">
        <is>
          <t>Clima, mantenimiento</t>
        </is>
      </c>
      <c r="AE86" s="16" t="inlineStr">
        <is>
          <t>Eizan Kurama / Kibuneguchi</t>
        </is>
      </c>
      <c r="AF86" s="16" t="inlineStr">
        <is>
          <t>Parcial o baja; terreno irregular y condiciones naturales</t>
        </is>
      </c>
      <c r="AG86" s="90" t="n">
        <v>35.1217</v>
      </c>
      <c r="AH86" s="90" t="n">
        <v>135.7708</v>
      </c>
      <c r="AI86" s="16" t="inlineStr">
        <is>
          <t>https://kyoto.travel/en/areas/kurama-kibune/</t>
        </is>
      </c>
      <c r="AJ86" s="16" t="inlineStr">
        <is>
          <t>Cambiante</t>
        </is>
      </c>
      <c r="AK86" s="16" t="inlineStr">
        <is>
          <t>NATURE + CULTURE</t>
        </is>
      </c>
      <c r="AL86" s="16" t="inlineStr">
        <is>
          <t>senderismo, naturaleza, cultura</t>
        </is>
      </c>
      <c r="AM86" s="91" t="n">
        <v>5</v>
      </c>
      <c r="AN86" s="91" t="n">
        <v>5</v>
      </c>
      <c r="AO86" s="91" t="n">
        <v>4</v>
      </c>
      <c r="AP86" s="91" t="n">
        <v>2</v>
      </c>
      <c r="AQ86" s="16" t="inlineStr">
        <is>
          <t>Imagen ideal: la secuencia espiritual y física es más rica que visitar ambos pueblos por separado. con luz de mañana, sin multitudes dominando el encuadre.</t>
        </is>
      </c>
      <c r="AR86" s="16" t="str"/>
      <c r="AS86" s="16" t="inlineStr">
        <is>
          <t>Lugar conocido pero excelente</t>
        </is>
      </c>
      <c r="AT86" s="16" t="str"/>
      <c r="AU86" s="16" t="inlineStr">
        <is>
          <t>https://www.google.com/maps/search/?api=1&amp;query=Kurama-dera%20to%20Kibune%20hike%2C%20Kyoto%2C%20Japan</t>
        </is>
      </c>
      <c r="AV86" s="16" t="inlineStr">
        <is>
          <t>2026-09-01</t>
        </is>
      </c>
      <c r="AW86" s="16" t="inlineStr">
        <is>
          <t>RIESGO ESTACIONAL</t>
        </is>
      </c>
      <c r="AX86" s="16" t="inlineStr">
        <is>
          <t>Posibles nieve, hielo, barro, viento, cierres y menos horas de luz.</t>
        </is>
      </c>
      <c r="AY86" s="16" t="inlineStr">
        <is>
          <t>Revisar clima, sendero y último transporte 24–48 h antes.</t>
        </is>
      </c>
    </row>
    <row r="87" ht="66" customHeight="1">
      <c r="A87" s="16" t="inlineStr">
        <is>
          <t>JP-086</t>
        </is>
      </c>
      <c r="B87" s="16" t="inlineStr">
        <is>
          <t>Kioto</t>
        </is>
      </c>
      <c r="C87" s="16" t="inlineStr">
        <is>
          <t>Kansai</t>
        </is>
      </c>
      <c r="D87" s="16" t="inlineStr">
        <is>
          <t>Kioto</t>
        </is>
      </c>
      <c r="E87" s="16" t="inlineStr">
        <is>
          <t>Kyoto</t>
        </is>
      </c>
      <c r="F87" s="16" t="inlineStr">
        <is>
          <t>Ohara</t>
        </is>
      </c>
      <c r="G87" s="16" t="inlineStr">
        <is>
          <t>Ohara</t>
        </is>
      </c>
      <c r="H87" s="16" t="inlineStr">
        <is>
          <t>Sanzen-in</t>
        </is>
      </c>
      <c r="I87" s="16" t="inlineStr">
        <is>
          <t>三千院</t>
        </is>
      </c>
      <c r="J87" s="16" t="inlineStr">
        <is>
          <t>Sanzen-in</t>
        </is>
      </c>
      <c r="K87" s="16" t="inlineStr">
        <is>
          <t>⛩️ Templos y santuarios</t>
        </is>
      </c>
      <c r="L87" s="16" t="inlineStr">
        <is>
          <t>templo/jardín</t>
        </is>
      </c>
      <c r="M87" s="16" t="inlineStr">
        <is>
          <t>A</t>
        </is>
      </c>
      <c r="N87" s="16" t="inlineStr">
        <is>
          <t>El conjunto más convincente de Ohara: musgo, estatuas, interiores y paisaje rural. Clasificación v2: excelente y muy recomendable, pero no justifica por sí sola adaptar la ruta.</t>
        </is>
      </c>
      <c r="O87" s="16" t="inlineStr">
        <is>
          <t>Templo Tendai con jardines de musgo y pequeñas figuras warabe jizō.</t>
        </is>
      </c>
      <c r="P87" s="16" t="inlineStr">
        <is>
          <t>La distancia filtra turismo y permite una experiencia estacional completa.</t>
        </is>
      </c>
      <c r="Q87" s="16" t="inlineStr">
        <is>
          <t>Templo Tendai con jardines de musgo y pequeñas figuras warabe jizō.</t>
        </is>
      </c>
      <c r="R87" s="16" t="inlineStr">
        <is>
          <t>1.5–2.5 h</t>
        </is>
      </c>
      <c r="S87" s="16" t="inlineStr">
        <is>
          <t>Mañana</t>
        </is>
      </c>
      <c r="T87" s="16" t="inlineStr">
        <is>
          <t>Temporada húmeda y otoño</t>
        </is>
      </c>
      <c r="U87" s="16" t="inlineStr">
        <is>
          <t>Medio</t>
        </is>
      </c>
      <c r="V87" s="16" t="inlineStr">
        <is>
          <t>Medio</t>
        </is>
      </c>
      <c r="W87" s="89" t="n">
        <v>700</v>
      </c>
      <c r="X87" s="89" t="n">
        <v>700</v>
      </c>
      <c r="Y87" s="89">
        <f>W87*'Configuración'!$B$4</f>
        <v/>
      </c>
      <c r="Z87" s="89">
        <f>X87*'Configuración'!$B$4</f>
        <v/>
      </c>
      <c r="AA87" s="16" t="inlineStr">
        <is>
          <t>No</t>
        </is>
      </c>
      <c r="AB87" s="16" t="inlineStr">
        <is>
          <t>—</t>
        </is>
      </c>
      <c r="AC87" s="16" t="inlineStr">
        <is>
          <t>09:00–17:00 aprox.</t>
        </is>
      </c>
      <c r="AD87" s="16" t="inlineStr">
        <is>
          <t>Sin cierre ordinario</t>
        </is>
      </c>
      <c r="AE87" s="16" t="inlineStr">
        <is>
          <t>Bus Ohara</t>
        </is>
      </c>
      <c r="AF87" s="16" t="inlineStr">
        <is>
          <t>Parcial; pueden existir escalones, grava o edificios sin elevador</t>
        </is>
      </c>
      <c r="AG87" s="90" t="n">
        <v>35.1196</v>
      </c>
      <c r="AH87" s="90" t="n">
        <v>135.8348</v>
      </c>
      <c r="AI87" s="16" t="inlineStr">
        <is>
          <t>https://kyoto.travel/en/areas/ohara/</t>
        </is>
      </c>
      <c r="AJ87" s="16" t="inlineStr">
        <is>
          <t>Cambiante</t>
        </is>
      </c>
      <c r="AK87" s="16" t="inlineStr">
        <is>
          <t>DAY TRIP / HIDDEN</t>
        </is>
      </c>
      <c r="AL87" s="16" t="inlineStr">
        <is>
          <t>pareja, jardines, cultura, naturaleza</t>
        </is>
      </c>
      <c r="AM87" s="91" t="n">
        <v>5</v>
      </c>
      <c r="AN87" s="91" t="n">
        <v>5</v>
      </c>
      <c r="AO87" s="91" t="n">
        <v>5</v>
      </c>
      <c r="AP87" s="91" t="n">
        <v>2</v>
      </c>
      <c r="AQ87" s="16" t="inlineStr">
        <is>
          <t>Imagen ideal: la distancia filtra turismo y permite una experiencia estacional completa. con luz de mañana, sin multitudes dominando el encuadre.</t>
        </is>
      </c>
      <c r="AR87" s="16" t="inlineStr">
        <is>
          <t>Hōsen-in (~3 min a pie)</t>
        </is>
      </c>
      <c r="AS87" s="16" t="inlineStr">
        <is>
          <t>Semi-hidden</t>
        </is>
      </c>
      <c r="AT87" s="16" t="str"/>
      <c r="AU87" s="16" t="inlineStr">
        <is>
          <t>https://www.google.com/maps/search/?api=1&amp;query=Sanzen-in%2C%20Kyoto%2C%20Japan</t>
        </is>
      </c>
      <c r="AV87" s="16" t="inlineStr">
        <is>
          <t>2026-09-01</t>
        </is>
      </c>
      <c r="AW87" s="16" t="inlineStr">
        <is>
          <t>CALENDARIO / CONDICIÓN PENDIENTE</t>
        </is>
      </c>
      <c r="AX87" s="16" t="inlineStr">
        <is>
          <t>No hay cierre específico confirmado para la ventana, pero horarios o acceso pueden variar.</t>
        </is>
      </c>
      <c r="AY87" s="16" t="inlineStr">
        <is>
          <t>Reconfirmar en la web oficial al fijar fechas.</t>
        </is>
      </c>
    </row>
    <row r="88" ht="66" customHeight="1">
      <c r="A88" s="16" t="inlineStr">
        <is>
          <t>JP-087</t>
        </is>
      </c>
      <c r="B88" s="16" t="inlineStr">
        <is>
          <t>Kioto</t>
        </is>
      </c>
      <c r="C88" s="16" t="inlineStr">
        <is>
          <t>Kansai</t>
        </is>
      </c>
      <c r="D88" s="16" t="inlineStr">
        <is>
          <t>Kioto</t>
        </is>
      </c>
      <c r="E88" s="16" t="inlineStr">
        <is>
          <t>Kyoto</t>
        </is>
      </c>
      <c r="F88" s="16" t="inlineStr">
        <is>
          <t>Ohara</t>
        </is>
      </c>
      <c r="G88" s="16" t="inlineStr">
        <is>
          <t>Ohara</t>
        </is>
      </c>
      <c r="H88" s="16" t="inlineStr">
        <is>
          <t>Hōsen-in</t>
        </is>
      </c>
      <c r="I88" s="16" t="inlineStr">
        <is>
          <t>宝泉院</t>
        </is>
      </c>
      <c r="J88" s="16" t="inlineStr">
        <is>
          <t>Hōsen-in</t>
        </is>
      </c>
      <c r="K88" s="16" t="inlineStr">
        <is>
          <t>🌸 Jardines y paisajes</t>
        </is>
      </c>
      <c r="L88" s="16" t="inlineStr">
        <is>
          <t>templo/jardín</t>
        </is>
      </c>
      <c r="M88" s="16" t="inlineStr">
        <is>
          <t>A</t>
        </is>
      </c>
      <c r="N88" s="16" t="inlineStr">
        <is>
          <t>Jardín enmarcado desde el tatami con té incluido; íntimo y visual.</t>
        </is>
      </c>
      <c r="O88" s="16" t="inlineStr">
        <is>
          <t>Pequeño templo con pino antiguo y jardín visto como cuadro vivo.</t>
        </is>
      </c>
      <c r="P88" s="16" t="inlineStr">
        <is>
          <t>La visita se realiza sentada y cambia el ritmo del día.</t>
        </is>
      </c>
      <c r="Q88" s="16" t="inlineStr">
        <is>
          <t>Pequeño templo con pino antiguo y jardín visto como cuadro vivo.</t>
        </is>
      </c>
      <c r="R88" s="16" t="inlineStr">
        <is>
          <t>45–75 min</t>
        </is>
      </c>
      <c r="S88" s="16" t="inlineStr">
        <is>
          <t>Mañana</t>
        </is>
      </c>
      <c r="T88" s="16" t="inlineStr">
        <is>
          <t>Otoño y temporada verde</t>
        </is>
      </c>
      <c r="U88" s="16" t="inlineStr">
        <is>
          <t>Bajo</t>
        </is>
      </c>
      <c r="V88" s="16" t="inlineStr">
        <is>
          <t>Bajo</t>
        </is>
      </c>
      <c r="W88" s="89" t="n">
        <v>900</v>
      </c>
      <c r="X88" s="89" t="n">
        <v>900</v>
      </c>
      <c r="Y88" s="89">
        <f>W88*'Configuración'!$B$4</f>
        <v/>
      </c>
      <c r="Z88" s="89">
        <f>X88*'Configuración'!$B$4</f>
        <v/>
      </c>
      <c r="AA88" s="16" t="inlineStr">
        <is>
          <t>No</t>
        </is>
      </c>
      <c r="AB88" s="16" t="inlineStr">
        <is>
          <t>—</t>
        </is>
      </c>
      <c r="AC88" s="16" t="inlineStr">
        <is>
          <t>09:00–17:00 aprox.</t>
        </is>
      </c>
      <c r="AD88" s="16" t="inlineStr">
        <is>
          <t>Variable</t>
        </is>
      </c>
      <c r="AE88" s="16" t="inlineStr">
        <is>
          <t>Bus Ohara + paseo</t>
        </is>
      </c>
      <c r="AF88" s="16" t="inlineStr">
        <is>
          <t>Parcial; pueden existir escalones, grava o edificios sin elevador</t>
        </is>
      </c>
      <c r="AG88" s="90" t="n">
        <v>35.121</v>
      </c>
      <c r="AH88" s="90" t="n">
        <v>135.8355</v>
      </c>
      <c r="AI88" s="16" t="inlineStr">
        <is>
          <t>https://kyoto.travel/en/areas/ohara/</t>
        </is>
      </c>
      <c r="AJ88" s="16" t="inlineStr">
        <is>
          <t>Cambiante</t>
        </is>
      </c>
      <c r="AK88" s="16" t="inlineStr">
        <is>
          <t>HIDDEN GEM</t>
        </is>
      </c>
      <c r="AL88" s="16" t="inlineStr">
        <is>
          <t>pareja, jardines, té, fotografía</t>
        </is>
      </c>
      <c r="AM88" s="91" t="n">
        <v>5</v>
      </c>
      <c r="AN88" s="91" t="n">
        <v>5</v>
      </c>
      <c r="AO88" s="91" t="n">
        <v>5</v>
      </c>
      <c r="AP88" s="91" t="n">
        <v>1</v>
      </c>
      <c r="AQ88" s="16" t="inlineStr">
        <is>
          <t>Imagen ideal: la visita se realiza sentada y cambia el ritmo del día. con luz de mañana, sin multitudes dominando el encuadre.</t>
        </is>
      </c>
      <c r="AR88" s="16" t="inlineStr">
        <is>
          <t>Sanzen-in (~3 min a pie)</t>
        </is>
      </c>
      <c r="AS88" s="16" t="inlineStr">
        <is>
          <t>Hidden Gem real</t>
        </is>
      </c>
      <c r="AT88" s="16" t="str"/>
      <c r="AU88" s="16" t="inlineStr">
        <is>
          <t>https://www.google.com/maps/search/?api=1&amp;query=H%C5%8Dsen-in%2C%20Kyoto%2C%20Japan</t>
        </is>
      </c>
      <c r="AV88" s="16" t="inlineStr">
        <is>
          <t>2026-09-01</t>
        </is>
      </c>
      <c r="AW88" s="16" t="inlineStr">
        <is>
          <t>CALENDARIO / CONDICIÓN PENDIENTE</t>
        </is>
      </c>
      <c r="AX88" s="16" t="inlineStr">
        <is>
          <t>No hay cierre específico confirmado para la ventana, pero horarios o acceso pueden variar.</t>
        </is>
      </c>
      <c r="AY88" s="16" t="inlineStr">
        <is>
          <t>Reconfirmar en la web oficial al fijar fechas.</t>
        </is>
      </c>
    </row>
    <row r="89" ht="66" customHeight="1">
      <c r="A89" s="16" t="inlineStr">
        <is>
          <t>JP-088</t>
        </is>
      </c>
      <c r="B89" s="16" t="inlineStr">
        <is>
          <t>Kioto</t>
        </is>
      </c>
      <c r="C89" s="16" t="inlineStr">
        <is>
          <t>Kansai</t>
        </is>
      </c>
      <c r="D89" s="16" t="inlineStr">
        <is>
          <t>Kioto</t>
        </is>
      </c>
      <c r="E89" s="16" t="inlineStr">
        <is>
          <t>Kyoto</t>
        </is>
      </c>
      <c r="F89" s="16" t="inlineStr">
        <is>
          <t>Takao</t>
        </is>
      </c>
      <c r="G89" s="16" t="inlineStr">
        <is>
          <t>Takao</t>
        </is>
      </c>
      <c r="H89" s="16" t="inlineStr">
        <is>
          <t>Jingo-ji</t>
        </is>
      </c>
      <c r="I89" s="16" t="inlineStr">
        <is>
          <t>神護寺</t>
        </is>
      </c>
      <c r="J89" s="16" t="inlineStr">
        <is>
          <t>Jingo-ji</t>
        </is>
      </c>
      <c r="K89" s="16" t="inlineStr">
        <is>
          <t>⛩️ Templos y santuarios</t>
        </is>
      </c>
      <c r="L89" s="16" t="inlineStr">
        <is>
          <t>templo de montaña</t>
        </is>
      </c>
      <c r="M89" s="16" t="inlineStr">
        <is>
          <t>A</t>
        </is>
      </c>
      <c r="N89" s="16" t="inlineStr">
        <is>
          <t>Gran paisaje de montaña y escaleras; mejor que muchos templos centrales en otoño.</t>
        </is>
      </c>
      <c r="O89" s="16" t="inlineStr">
        <is>
          <t>Templo antiguo sobre el valle Kiyotaki con vistas y kawarake-nage.</t>
        </is>
      </c>
      <c r="P89" s="16" t="inlineStr">
        <is>
          <t>El esfuerzo de acceso crea aislamiento real.</t>
        </is>
      </c>
      <c r="Q89" s="16" t="inlineStr">
        <is>
          <t>Templo antiguo sobre el valle Kiyotaki con vistas y kawarake-nage.</t>
        </is>
      </c>
      <c r="R89" s="16" t="inlineStr">
        <is>
          <t>2–3 h</t>
        </is>
      </c>
      <c r="S89" s="16" t="inlineStr">
        <is>
          <t>Mañana</t>
        </is>
      </c>
      <c r="T89" s="16" t="inlineStr">
        <is>
          <t>Otoño</t>
        </is>
      </c>
      <c r="U89" s="16" t="inlineStr">
        <is>
          <t>Medio</t>
        </is>
      </c>
      <c r="V89" s="16" t="inlineStr">
        <is>
          <t>Bajo</t>
        </is>
      </c>
      <c r="W89" s="89" t="n">
        <v>1000</v>
      </c>
      <c r="X89" s="89" t="n">
        <v>1000</v>
      </c>
      <c r="Y89" s="89">
        <f>W89*'Configuración'!$B$4</f>
        <v/>
      </c>
      <c r="Z89" s="89">
        <f>X89*'Configuración'!$B$4</f>
        <v/>
      </c>
      <c r="AA89" s="16" t="inlineStr">
        <is>
          <t>No</t>
        </is>
      </c>
      <c r="AB89" s="16" t="inlineStr">
        <is>
          <t>—</t>
        </is>
      </c>
      <c r="AC89" s="16" t="inlineStr">
        <is>
          <t>09:00–16:00 aprox.</t>
        </is>
      </c>
      <c r="AD89" s="16" t="inlineStr">
        <is>
          <t>Sin cierre ordinario</t>
        </is>
      </c>
      <c r="AE89" s="16" t="inlineStr">
        <is>
          <t>Bus Takao + escaleras</t>
        </is>
      </c>
      <c r="AF89" s="16" t="inlineStr">
        <is>
          <t>Parcial o baja; terreno irregular y condiciones naturales</t>
        </is>
      </c>
      <c r="AG89" s="90" t="n">
        <v>35.0549</v>
      </c>
      <c r="AH89" s="90" t="n">
        <v>135.6704</v>
      </c>
      <c r="AI89" s="16" t="inlineStr">
        <is>
          <t>https://kyoto.travel/en/areas/takao/</t>
        </is>
      </c>
      <c r="AJ89" s="16" t="inlineStr">
        <is>
          <t>Cambiante</t>
        </is>
      </c>
      <c r="AK89" s="16" t="inlineStr">
        <is>
          <t>HIDDEN GEM / NATURE</t>
        </is>
      </c>
      <c r="AL89" s="16" t="inlineStr">
        <is>
          <t>senderismo, cultura, fotografía</t>
        </is>
      </c>
      <c r="AM89" s="91" t="n">
        <v>5</v>
      </c>
      <c r="AN89" s="91" t="n">
        <v>5</v>
      </c>
      <c r="AO89" s="91" t="n">
        <v>4</v>
      </c>
      <c r="AP89" s="91" t="n">
        <v>1</v>
      </c>
      <c r="AQ89" s="16" t="inlineStr">
        <is>
          <t>Imagen ideal: el esfuerzo de acceso crea aislamiento real. con luz de mañana, sin multitudes dominando el encuadre.</t>
        </is>
      </c>
      <c r="AR89" s="16" t="str"/>
      <c r="AS89" s="16" t="inlineStr">
        <is>
          <t>Semi-hidden</t>
        </is>
      </c>
      <c r="AT89" s="16" t="str"/>
      <c r="AU89" s="16" t="inlineStr">
        <is>
          <t>https://www.google.com/maps/search/?api=1&amp;query=Jingo-ji%2C%20Kyoto%2C%20Japan</t>
        </is>
      </c>
      <c r="AV89" s="16" t="inlineStr">
        <is>
          <t>2026-09-01</t>
        </is>
      </c>
      <c r="AW89" s="16" t="inlineStr">
        <is>
          <t>RIESGO ESTACIONAL</t>
        </is>
      </c>
      <c r="AX89" s="16" t="inlineStr">
        <is>
          <t>Posibles nieve, hielo, barro, viento, cierres y menos horas de luz.</t>
        </is>
      </c>
      <c r="AY89" s="16" t="inlineStr">
        <is>
          <t>Revisar clima, sendero y último transporte 24–48 h antes.</t>
        </is>
      </c>
    </row>
    <row r="90" ht="66" customHeight="1">
      <c r="A90" s="16" t="inlineStr">
        <is>
          <t>JP-089</t>
        </is>
      </c>
      <c r="B90" s="16" t="inlineStr">
        <is>
          <t>Kioto</t>
        </is>
      </c>
      <c r="C90" s="16" t="inlineStr">
        <is>
          <t>Kansai</t>
        </is>
      </c>
      <c r="D90" s="16" t="inlineStr">
        <is>
          <t>Kioto</t>
        </is>
      </c>
      <c r="E90" s="16" t="inlineStr">
        <is>
          <t>Kyoto</t>
        </is>
      </c>
      <c r="F90" s="16" t="inlineStr">
        <is>
          <t>Central</t>
        </is>
      </c>
      <c r="G90" s="16" t="inlineStr">
        <is>
          <t>Central Kyoto</t>
        </is>
      </c>
      <c r="H90" s="16" t="inlineStr">
        <is>
          <t>Nijō Castle</t>
        </is>
      </c>
      <c r="I90" s="16" t="inlineStr">
        <is>
          <t>二条城</t>
        </is>
      </c>
      <c r="J90" s="16" t="inlineStr">
        <is>
          <t>Nijō Castle</t>
        </is>
      </c>
      <c r="K90" s="16" t="inlineStr">
        <is>
          <t>🏯 Historia y patrimonio</t>
        </is>
      </c>
      <c r="L90" s="16" t="inlineStr">
        <is>
          <t>castillo/palacio</t>
        </is>
      </c>
      <c r="M90" s="16" t="inlineStr">
        <is>
          <t>S</t>
        </is>
      </c>
      <c r="N90" s="16" t="inlineStr">
        <is>
          <t>Interiores, jardines y poder político Tokugawa hacen imprescindible la visita.</t>
        </is>
      </c>
      <c r="O90" s="16" t="inlineStr">
        <is>
          <t>Palacio Ninomaru, pisos ruiseñor y fortificaciones del shogunato.</t>
        </is>
      </c>
      <c r="P90" s="16" t="inlineStr">
        <is>
          <t>Es un palacio de gobierno auténtico, no una torre reconstruida.</t>
        </is>
      </c>
      <c r="Q90" s="16" t="inlineStr">
        <is>
          <t>Palacio Ninomaru, pisos ruiseñor y fortificaciones del shogunato.</t>
        </is>
      </c>
      <c r="R90" s="16" t="inlineStr">
        <is>
          <t>2–3 h</t>
        </is>
      </c>
      <c r="S90" s="16" t="inlineStr">
        <is>
          <t>Mañana</t>
        </is>
      </c>
      <c r="T90" s="16" t="inlineStr">
        <is>
          <t>Sakura y otoño</t>
        </is>
      </c>
      <c r="U90" s="16" t="inlineStr">
        <is>
          <t>Alto</t>
        </is>
      </c>
      <c r="V90" s="16" t="inlineStr">
        <is>
          <t>Alto</t>
        </is>
      </c>
      <c r="W90" s="89" t="n">
        <v>800</v>
      </c>
      <c r="X90" s="89" t="n">
        <v>1300</v>
      </c>
      <c r="Y90" s="89">
        <f>W90*'Configuración'!$B$4</f>
        <v/>
      </c>
      <c r="Z90" s="89">
        <f>X90*'Configuración'!$B$4</f>
        <v/>
      </c>
      <c r="AA90" s="16" t="inlineStr">
        <is>
          <t>Recomendable</t>
        </is>
      </c>
      <c r="AB90" s="16" t="inlineStr">
        <is>
          <t>Días en temporada</t>
        </is>
      </c>
      <c r="AC90" s="16" t="inlineStr">
        <is>
          <t>08:45–17:00 aprox.</t>
        </is>
      </c>
      <c r="AD90" s="16" t="inlineStr">
        <is>
          <t>Martes en meses específicos; fin de año</t>
        </is>
      </c>
      <c r="AE90" s="16" t="inlineStr">
        <is>
          <t>Metro Nijojo-mae</t>
        </is>
      </c>
      <c r="AF90" s="16" t="inlineStr">
        <is>
          <t>Parcial; pueden existir escalones, grava o edificios sin elevador</t>
        </is>
      </c>
      <c r="AG90" s="90" t="n">
        <v>35.0142</v>
      </c>
      <c r="AH90" s="90" t="n">
        <v>135.7482</v>
      </c>
      <c r="AI90" s="16" t="inlineStr">
        <is>
          <t>https://nijo-jocastle.city.kyoto.lg.jp/?lang=en</t>
        </is>
      </c>
      <c r="AJ90" s="16" t="inlineStr">
        <is>
          <t>Cambiante</t>
        </is>
      </c>
      <c r="AK90" s="16" t="inlineStr">
        <is>
          <t>MUST SEE</t>
        </is>
      </c>
      <c r="AL90" s="16" t="inlineStr">
        <is>
          <t>historia, arquitectura, jardines</t>
        </is>
      </c>
      <c r="AM90" s="91" t="n">
        <v>5</v>
      </c>
      <c r="AN90" s="91" t="n">
        <v>5</v>
      </c>
      <c r="AO90" s="91" t="n">
        <v>5</v>
      </c>
      <c r="AP90" s="91" t="n">
        <v>4</v>
      </c>
      <c r="AQ90" s="16" t="inlineStr">
        <is>
          <t>Imagen ideal: es un palacio de gobierno auténtico, no una torre reconstruida. con luz de mañana, sin multitudes dominando el encuadre.</t>
        </is>
      </c>
      <c r="AR90" s="16" t="inlineStr">
        <is>
          <t>Kyoto International Manga Museum (~16 min a pie) | Kyoto Imperial Palace (~25 min a pie) | Nishiki Market (~26 min en transporte)</t>
        </is>
      </c>
      <c r="AS90" s="16" t="inlineStr">
        <is>
          <t>Popular / turístico</t>
        </is>
      </c>
      <c r="AT90" s="16" t="str"/>
      <c r="AU90" s="16" t="inlineStr">
        <is>
          <t>https://www.google.com/maps/search/?api=1&amp;query=Nij%C5%8D%20Castle%2C%20Kyoto%2C%20Japan</t>
        </is>
      </c>
      <c r="AV90" s="16" t="inlineStr">
        <is>
          <t>2026-09-01</t>
        </is>
      </c>
      <c r="AW90" s="16" t="inlineStr">
        <is>
          <t>ABIERTO; FLORACIÓN NO GARANTIZADA</t>
        </is>
      </c>
      <c r="AX90" s="16" t="inlineStr">
        <is>
          <t>En Japón central la floración plena suele ser más tardía; finales de marzo es incierto.</t>
        </is>
      </c>
      <c r="AY90" s="16" t="inlineStr">
        <is>
          <t>No basar la visita en sakura hasta el pronóstico 2027.</t>
        </is>
      </c>
    </row>
    <row r="91" ht="66" customHeight="1">
      <c r="A91" s="16" t="inlineStr">
        <is>
          <t>JP-090</t>
        </is>
      </c>
      <c r="B91" s="16" t="inlineStr">
        <is>
          <t>Kioto</t>
        </is>
      </c>
      <c r="C91" s="16" t="inlineStr">
        <is>
          <t>Kansai</t>
        </is>
      </c>
      <c r="D91" s="16" t="inlineStr">
        <is>
          <t>Kioto</t>
        </is>
      </c>
      <c r="E91" s="16" t="inlineStr">
        <is>
          <t>Kyoto</t>
        </is>
      </c>
      <c r="F91" s="16" t="inlineStr">
        <is>
          <t>Central</t>
        </is>
      </c>
      <c r="G91" s="16" t="inlineStr">
        <is>
          <t>Central Kyoto</t>
        </is>
      </c>
      <c r="H91" s="16" t="inlineStr">
        <is>
          <t>Kyoto Imperial Palace</t>
        </is>
      </c>
      <c r="I91" s="16" t="inlineStr">
        <is>
          <t>京都御所</t>
        </is>
      </c>
      <c r="J91" s="16" t="inlineStr">
        <is>
          <t>Kyoto Imperial Palace</t>
        </is>
      </c>
      <c r="K91" s="16" t="inlineStr">
        <is>
          <t>🏯 Historia y patrimonio</t>
        </is>
      </c>
      <c r="L91" s="16" t="inlineStr">
        <is>
          <t>palacio/parque</t>
        </is>
      </c>
      <c r="M91" s="16" t="inlineStr">
        <is>
          <t>A</t>
        </is>
      </c>
      <c r="N91" s="16" t="inlineStr">
        <is>
          <t>Gran vacío histórico y arquitectura imperial; gratuito y menos saturado.</t>
        </is>
      </c>
      <c r="O91" s="16" t="inlineStr">
        <is>
          <t>Antigua residencia imperial dentro del Kyoto Gyoen.</t>
        </is>
      </c>
      <c r="P91" s="16" t="inlineStr">
        <is>
          <t>Permite comprender la capital cortesana frente al poder shogunal de Nijo.</t>
        </is>
      </c>
      <c r="Q91" s="16" t="inlineStr">
        <is>
          <t>Antigua residencia imperial dentro del Kyoto Gyoen.</t>
        </is>
      </c>
      <c r="R91" s="16" t="inlineStr">
        <is>
          <t>1.5–2.5 h</t>
        </is>
      </c>
      <c r="S91" s="16" t="inlineStr">
        <is>
          <t>Mañana</t>
        </is>
      </c>
      <c r="T91" s="16" t="inlineStr">
        <is>
          <t>Primavera y otoño</t>
        </is>
      </c>
      <c r="U91" s="16" t="inlineStr">
        <is>
          <t>Medio</t>
        </is>
      </c>
      <c r="V91" s="16" t="inlineStr">
        <is>
          <t>Medio</t>
        </is>
      </c>
      <c r="W91" s="89" t="n">
        <v>0</v>
      </c>
      <c r="X91" s="89" t="n">
        <v>0</v>
      </c>
      <c r="Y91" s="89">
        <f>W91*'Configuración'!$B$4</f>
        <v/>
      </c>
      <c r="Z91" s="89">
        <f>X91*'Configuración'!$B$4</f>
        <v/>
      </c>
      <c r="AA91" s="16" t="inlineStr">
        <is>
          <t>No</t>
        </is>
      </c>
      <c r="AB91" s="16" t="inlineStr">
        <is>
          <t>—</t>
        </is>
      </c>
      <c r="AC91" s="16" t="inlineStr">
        <is>
          <t>09:00–16:00/17:00 según temporada</t>
        </is>
      </c>
      <c r="AD91" s="16" t="inlineStr">
        <is>
          <t>Lunes y actos; verificar</t>
        </is>
      </c>
      <c r="AE91" s="16" t="inlineStr">
        <is>
          <t>Imadegawa / Marutamachi</t>
        </is>
      </c>
      <c r="AF91" s="16" t="inlineStr">
        <is>
          <t>Buena en áreas principales; confirmar detalles con el recinto</t>
        </is>
      </c>
      <c r="AG91" s="90" t="n">
        <v>35.0254</v>
      </c>
      <c r="AH91" s="90" t="n">
        <v>135.7621</v>
      </c>
      <c r="AI91" s="16" t="inlineStr">
        <is>
          <t>https://sankan.kunaicho.go.jp/english/guide/kyoto.html</t>
        </is>
      </c>
      <c r="AJ91" s="16" t="inlineStr">
        <is>
          <t>Cambiante</t>
        </is>
      </c>
      <c r="AK91" s="16" t="inlineStr">
        <is>
          <t>HISTORY</t>
        </is>
      </c>
      <c r="AL91" s="16" t="inlineStr">
        <is>
          <t>historia, arquitectura, jardines</t>
        </is>
      </c>
      <c r="AM91" s="91" t="n">
        <v>4</v>
      </c>
      <c r="AN91" s="91" t="n">
        <v>4</v>
      </c>
      <c r="AO91" s="91" t="n">
        <v>5</v>
      </c>
      <c r="AP91" s="91" t="n">
        <v>2</v>
      </c>
      <c r="AQ91" s="16" t="inlineStr">
        <is>
          <t>Imagen ideal: permite comprender la capital cortesana frente al poder shogunal de nijo. con luz de mañana, sin multitudes dominando el encuadre.</t>
        </is>
      </c>
      <c r="AR91" s="16" t="inlineStr">
        <is>
          <t>Demachi Masugata Shopping Arcade (~12 min a pie) | Kyoto International Manga Museum (~24 min a pie) | Nijō Castle (~25 min a pie)</t>
        </is>
      </c>
      <c r="AS91" s="16" t="inlineStr">
        <is>
          <t>Lugar conocido pero excelente</t>
        </is>
      </c>
      <c r="AT91" s="16" t="str"/>
      <c r="AU91" s="16" t="inlineStr">
        <is>
          <t>https://www.google.com/maps/search/?api=1&amp;query=Kyoto%20Imperial%20Palace%2C%20Kyoto%2C%20Japan</t>
        </is>
      </c>
      <c r="AV91" s="16" t="inlineStr">
        <is>
          <t>2026-09-01</t>
        </is>
      </c>
      <c r="AW91" s="16" t="inlineStr">
        <is>
          <t>CALENDARIO / CONDICIÓN PENDIENTE</t>
        </is>
      </c>
      <c r="AX91" s="16" t="inlineStr">
        <is>
          <t>No hay cierre específico confirmado para la ventana, pero horarios o acceso pueden variar.</t>
        </is>
      </c>
      <c r="AY91" s="16" t="inlineStr">
        <is>
          <t>Reconfirmar en la web oficial al fijar fechas.</t>
        </is>
      </c>
    </row>
    <row r="92" ht="66" customHeight="1">
      <c r="A92" s="16" t="inlineStr">
        <is>
          <t>JP-091</t>
        </is>
      </c>
      <c r="B92" s="16" t="inlineStr">
        <is>
          <t>Kioto</t>
        </is>
      </c>
      <c r="C92" s="16" t="inlineStr">
        <is>
          <t>Kansai</t>
        </is>
      </c>
      <c r="D92" s="16" t="inlineStr">
        <is>
          <t>Kioto</t>
        </is>
      </c>
      <c r="E92" s="16" t="inlineStr">
        <is>
          <t>Kyoto</t>
        </is>
      </c>
      <c r="F92" s="16" t="inlineStr">
        <is>
          <t>Central</t>
        </is>
      </c>
      <c r="G92" s="16" t="inlineStr">
        <is>
          <t>Central Kyoto</t>
        </is>
      </c>
      <c r="H92" s="16" t="inlineStr">
        <is>
          <t>Nishiki Market</t>
        </is>
      </c>
      <c r="I92" s="16" t="inlineStr">
        <is>
          <t>錦市場</t>
        </is>
      </c>
      <c r="J92" s="16" t="inlineStr">
        <is>
          <t>Nishiki Market</t>
        </is>
      </c>
      <c r="K92" s="16" t="inlineStr">
        <is>
          <t>🍜 Gastronomía</t>
        </is>
      </c>
      <c r="L92" s="16" t="inlineStr">
        <is>
          <t>mercado</t>
        </is>
      </c>
      <c r="M92" s="16" t="inlineStr">
        <is>
          <t>C</t>
        </is>
      </c>
      <c r="N92" s="16" t="inlineStr">
        <is>
          <t>Histórico, pero muy angosto, saturado y orientado cada vez más a degustación turística.</t>
        </is>
      </c>
      <c r="O92" s="16" t="inlineStr">
        <is>
          <t>Galería comercial de alimentos y utensilios en el centro.</t>
        </is>
      </c>
      <c r="P92" s="16" t="inlineStr">
        <is>
          <t>Vale por especialistas concretos, no por recorrerlo sin objetivo.</t>
        </is>
      </c>
      <c r="Q92" s="16" t="inlineStr">
        <is>
          <t>Galería comercial de alimentos y utensilios en el centro.</t>
        </is>
      </c>
      <c r="R92" s="16" t="inlineStr">
        <is>
          <t>1–1.5 h</t>
        </is>
      </c>
      <c r="S92" s="16" t="inlineStr">
        <is>
          <t>Mañana</t>
        </is>
      </c>
      <c r="T92" s="16" t="inlineStr">
        <is>
          <t>Días laborables</t>
        </is>
      </c>
      <c r="U92" s="16" t="inlineStr">
        <is>
          <t>Extremo</t>
        </is>
      </c>
      <c r="V92" s="16" t="inlineStr">
        <is>
          <t>Extremo</t>
        </is>
      </c>
      <c r="W92" s="89" t="n">
        <v>500</v>
      </c>
      <c r="X92" s="89" t="n">
        <v>4000</v>
      </c>
      <c r="Y92" s="89">
        <f>W92*'Configuración'!$B$4</f>
        <v/>
      </c>
      <c r="Z92" s="89">
        <f>X92*'Configuración'!$B$4</f>
        <v/>
      </c>
      <c r="AA92" s="16" t="inlineStr">
        <is>
          <t>No</t>
        </is>
      </c>
      <c r="AB92" s="16" t="inlineStr">
        <is>
          <t>—</t>
        </is>
      </c>
      <c r="AC92" s="16" t="inlineStr">
        <is>
          <t>Aprox. 10:00–18:00</t>
        </is>
      </c>
      <c r="AD92" s="16" t="inlineStr">
        <is>
          <t>Miércoles variable</t>
        </is>
      </c>
      <c r="AE92" s="16" t="inlineStr">
        <is>
          <t>Karasuma / Kyoto-Kawaramachi</t>
        </is>
      </c>
      <c r="AF92" s="16" t="inlineStr">
        <is>
          <t>Buena en áreas principales; confirmar detalles con el recinto</t>
        </is>
      </c>
      <c r="AG92" s="90" t="n">
        <v>35.005</v>
      </c>
      <c r="AH92" s="90" t="n">
        <v>135.7649</v>
      </c>
      <c r="AI92" s="16" t="inlineStr">
        <is>
          <t>https://www.kyoto-nishiki.or.jp/en/</t>
        </is>
      </c>
      <c r="AJ92" s="16" t="inlineStr">
        <is>
          <t>Cambiante</t>
        </is>
      </c>
      <c r="AK92" s="16" t="inlineStr">
        <is>
          <t>FOOD / TOURISTY</t>
        </is>
      </c>
      <c r="AL92" s="16" t="inlineStr">
        <is>
          <t>comida, compras</t>
        </is>
      </c>
      <c r="AM92" s="91" t="n">
        <v>3</v>
      </c>
      <c r="AN92" s="91" t="n">
        <v>3</v>
      </c>
      <c r="AO92" s="91" t="n">
        <v>2</v>
      </c>
      <c r="AP92" s="91" t="n">
        <v>5</v>
      </c>
      <c r="AQ92" s="16" t="inlineStr">
        <is>
          <t>Imagen ideal: vale por especialistas concretos, no por recorrerlo sin objetivo. con luz de mañana, sin multitudes dominando el encuadre.</t>
        </is>
      </c>
      <c r="AR92" s="16" t="inlineStr">
        <is>
          <t>Kyoto International Manga Museum (~11 min a pie) | Gion Shirakawa (~11 min a pie) | Kennin-ji (~13 min a pie)</t>
        </is>
      </c>
      <c r="AS92" s="16" t="inlineStr">
        <is>
          <t>Popular / turístico</t>
        </is>
      </c>
      <c r="AT92" s="16" t="str"/>
      <c r="AU92" s="16" t="inlineStr">
        <is>
          <t>https://www.google.com/maps/search/?api=1&amp;query=Nishiki%20Market%2C%20Kyoto%2C%20Japan</t>
        </is>
      </c>
      <c r="AV92" s="16" t="inlineStr">
        <is>
          <t>2026-09-01</t>
        </is>
      </c>
      <c r="AW92" s="16" t="inlineStr">
        <is>
          <t>CALENDARIO / CONDICIÓN PENDIENTE</t>
        </is>
      </c>
      <c r="AX92" s="16" t="inlineStr">
        <is>
          <t>No hay cierre específico confirmado para la ventana, pero horarios o acceso pueden variar.</t>
        </is>
      </c>
      <c r="AY92" s="16" t="inlineStr">
        <is>
          <t>Reconfirmar en la web oficial al fijar fechas.</t>
        </is>
      </c>
    </row>
    <row r="93" ht="66" customHeight="1">
      <c r="A93" s="16" t="inlineStr">
        <is>
          <t>JP-092</t>
        </is>
      </c>
      <c r="B93" s="16" t="inlineStr">
        <is>
          <t>Kioto</t>
        </is>
      </c>
      <c r="C93" s="16" t="inlineStr">
        <is>
          <t>Kansai</t>
        </is>
      </c>
      <c r="D93" s="16" t="inlineStr">
        <is>
          <t>Kioto</t>
        </is>
      </c>
      <c r="E93" s="16" t="inlineStr">
        <is>
          <t>Kyoto</t>
        </is>
      </c>
      <c r="F93" s="16" t="inlineStr">
        <is>
          <t>Central</t>
        </is>
      </c>
      <c r="G93" s="16" t="inlineStr">
        <is>
          <t>Central Kyoto</t>
        </is>
      </c>
      <c r="H93" s="16" t="inlineStr">
        <is>
          <t>Kyoto International Manga Museum</t>
        </is>
      </c>
      <c r="I93" s="16" t="inlineStr">
        <is>
          <t>京都国際マンガミュージアム</t>
        </is>
      </c>
      <c r="J93" s="16" t="inlineStr">
        <is>
          <t>Kyoto International Manga Museum</t>
        </is>
      </c>
      <c r="K93" s="16" t="inlineStr">
        <is>
          <t>👾 Anime/manga</t>
        </is>
      </c>
      <c r="L93" s="16" t="inlineStr">
        <is>
          <t>museo/biblioteca</t>
        </is>
      </c>
      <c r="M93" s="16" t="inlineStr">
        <is>
          <t>A</t>
        </is>
      </c>
      <c r="N93" s="16" t="inlineStr">
        <is>
          <t>Gran archivo legible y relajado; más cultural que comercial.</t>
        </is>
      </c>
      <c r="O93" s="16" t="inlineStr">
        <is>
          <t>Antigua escuela convertida en museo con cientos de miles de mangas.</t>
        </is>
      </c>
      <c r="P93" s="16" t="inlineStr">
        <is>
          <t>Se puede leer libremente y entender la historia del medio.</t>
        </is>
      </c>
      <c r="Q93" s="16" t="inlineStr">
        <is>
          <t>Antigua escuela convertida en museo con cientos de miles de mangas.</t>
        </is>
      </c>
      <c r="R93" s="16" t="inlineStr">
        <is>
          <t>2–4 h</t>
        </is>
      </c>
      <c r="S93" s="16" t="inlineStr">
        <is>
          <t>Tarde</t>
        </is>
      </c>
      <c r="T93" s="16" t="inlineStr">
        <is>
          <t>Todo el año</t>
        </is>
      </c>
      <c r="U93" s="16" t="inlineStr">
        <is>
          <t>Medio</t>
        </is>
      </c>
      <c r="V93" s="16" t="inlineStr">
        <is>
          <t>Medio</t>
        </is>
      </c>
      <c r="W93" s="89" t="n">
        <v>1200</v>
      </c>
      <c r="X93" s="89" t="n">
        <v>1200</v>
      </c>
      <c r="Y93" s="89">
        <f>W93*'Configuración'!$B$4</f>
        <v/>
      </c>
      <c r="Z93" s="89">
        <f>X93*'Configuración'!$B$4</f>
        <v/>
      </c>
      <c r="AA93" s="16" t="inlineStr">
        <is>
          <t>No</t>
        </is>
      </c>
      <c r="AB93" s="16" t="inlineStr">
        <is>
          <t>—</t>
        </is>
      </c>
      <c r="AC93" s="16" t="inlineStr">
        <is>
          <t>10:30–17:30 aprox.</t>
        </is>
      </c>
      <c r="AD93" s="16" t="inlineStr">
        <is>
          <t>Miércoles; verificar</t>
        </is>
      </c>
      <c r="AE93" s="16" t="inlineStr">
        <is>
          <t>Karasuma Oike</t>
        </is>
      </c>
      <c r="AF93" s="16" t="inlineStr">
        <is>
          <t>Buena en áreas principales; confirmar detalles con el recinto</t>
        </is>
      </c>
      <c r="AG93" s="90" t="n">
        <v>35.0102</v>
      </c>
      <c r="AH93" s="90" t="n">
        <v>135.7595</v>
      </c>
      <c r="AI93" s="16" t="inlineStr">
        <is>
          <t>https://kyotomm.jp/en/</t>
        </is>
      </c>
      <c r="AJ93" s="16" t="inlineStr">
        <is>
          <t>Cambiante</t>
        </is>
      </c>
      <c r="AK93" s="16" t="inlineStr">
        <is>
          <t>MANGA</t>
        </is>
      </c>
      <c r="AL93" s="16" t="inlineStr">
        <is>
          <t>anime, manga, cultura, lluvia</t>
        </is>
      </c>
      <c r="AM93" s="91" t="n">
        <v>3</v>
      </c>
      <c r="AN93" s="91" t="n">
        <v>5</v>
      </c>
      <c r="AO93" s="91" t="n">
        <v>5</v>
      </c>
      <c r="AP93" s="91" t="n">
        <v>2</v>
      </c>
      <c r="AQ93" s="16" t="inlineStr">
        <is>
          <t>Imagen ideal: se puede leer libremente y entender la historia del medio. con luz de tarde, sin multitudes dominando el encuadre.</t>
        </is>
      </c>
      <c r="AR93" s="16" t="inlineStr">
        <is>
          <t>Nishiki Market (~11 min a pie) | Nijō Castle (~16 min a pie) | Gion Shirakawa (~19 min a pie)</t>
        </is>
      </c>
      <c r="AS93" s="16" t="inlineStr">
        <is>
          <t>Lugar conocido pero excelente</t>
        </is>
      </c>
      <c r="AT93" s="16" t="str"/>
      <c r="AU93" s="16" t="inlineStr">
        <is>
          <t>https://www.google.com/maps/search/?api=1&amp;query=Kyoto%20International%20Manga%20Museum%2C%20Kyoto%2C%20Japan</t>
        </is>
      </c>
      <c r="AV93" s="16" t="inlineStr">
        <is>
          <t>2026-09-01</t>
        </is>
      </c>
      <c r="AW93" s="16" t="inlineStr">
        <is>
          <t>CALENDARIO / CONDICIÓN PENDIENTE</t>
        </is>
      </c>
      <c r="AX93" s="16" t="inlineStr">
        <is>
          <t>No hay cierre específico confirmado para la ventana, pero horarios o acceso pueden variar.</t>
        </is>
      </c>
      <c r="AY93" s="16" t="inlineStr">
        <is>
          <t>Reconfirmar en la web oficial al fijar fechas.</t>
        </is>
      </c>
    </row>
    <row r="94" ht="66" customHeight="1">
      <c r="A94" s="16" t="inlineStr">
        <is>
          <t>JP-093</t>
        </is>
      </c>
      <c r="B94" s="16" t="inlineStr">
        <is>
          <t>Kioto</t>
        </is>
      </c>
      <c r="C94" s="16" t="inlineStr">
        <is>
          <t>Kansai</t>
        </is>
      </c>
      <c r="D94" s="16" t="inlineStr">
        <is>
          <t>Kioto</t>
        </is>
      </c>
      <c r="E94" s="16" t="inlineStr">
        <is>
          <t>Kyoto</t>
        </is>
      </c>
      <c r="F94" s="16" t="inlineStr">
        <is>
          <t>Kyoto Station</t>
        </is>
      </c>
      <c r="G94" s="16" t="inlineStr">
        <is>
          <t>Station–South</t>
        </is>
      </c>
      <c r="H94" s="16" t="inlineStr">
        <is>
          <t>Kyoto Railway Museum</t>
        </is>
      </c>
      <c r="I94" s="16" t="inlineStr">
        <is>
          <t>京都鉄道博物館</t>
        </is>
      </c>
      <c r="J94" s="16" t="inlineStr">
        <is>
          <t>Kyoto Railway Museum</t>
        </is>
      </c>
      <c r="K94" s="16" t="inlineStr">
        <is>
          <t>🚂 Experiencias especiales</t>
        </is>
      </c>
      <c r="L94" s="16" t="inlineStr">
        <is>
          <t>museo ferroviario</t>
        </is>
      </c>
      <c r="M94" s="16" t="inlineStr">
        <is>
          <t>A</t>
        </is>
      </c>
      <c r="N94" s="16" t="inlineStr">
        <is>
          <t>Uno de los mejores museos ferroviarios de Japón, con material real y demostraciones. Clasificación v2: excelente y muy recomendable, pero no justifica por sí sola adaptar la ruta.</t>
        </is>
      </c>
      <c r="O94" s="16" t="inlineStr">
        <is>
          <t>Locomotoras, trenes bala, rotonda histórica y simuladores.</t>
        </is>
      </c>
      <c r="P94" s="16" t="inlineStr">
        <is>
          <t>La escala industrial y variedad hacen que funcione también sin ser fan.</t>
        </is>
      </c>
      <c r="Q94" s="16" t="inlineStr">
        <is>
          <t>Locomotoras, trenes bala, rotonda histórica y simuladores.</t>
        </is>
      </c>
      <c r="R94" s="16" t="inlineStr">
        <is>
          <t>3–5 h</t>
        </is>
      </c>
      <c r="S94" s="16" t="inlineStr">
        <is>
          <t>Mañana</t>
        </is>
      </c>
      <c r="T94" s="16" t="inlineStr">
        <is>
          <t>Todo el año</t>
        </is>
      </c>
      <c r="U94" s="16" t="inlineStr">
        <is>
          <t>Alto</t>
        </is>
      </c>
      <c r="V94" s="16" t="inlineStr">
        <is>
          <t>Medio</t>
        </is>
      </c>
      <c r="W94" s="89" t="n">
        <v>1500</v>
      </c>
      <c r="X94" s="89" t="n">
        <v>1500</v>
      </c>
      <c r="Y94" s="89">
        <f>W94*'Configuración'!$B$4</f>
        <v/>
      </c>
      <c r="Z94" s="89">
        <f>X94*'Configuración'!$B$4</f>
        <v/>
      </c>
      <c r="AA94" s="16" t="inlineStr">
        <is>
          <t>Recomendable</t>
        </is>
      </c>
      <c r="AB94" s="16" t="inlineStr">
        <is>
          <t>Días en fin de semana</t>
        </is>
      </c>
      <c r="AC94" s="16" t="inlineStr">
        <is>
          <t>10:00–17:00 aprox.</t>
        </is>
      </c>
      <c r="AD94" s="16" t="inlineStr">
        <is>
          <t>Miércoles; verificar</t>
        </is>
      </c>
      <c r="AE94" s="16" t="inlineStr">
        <is>
          <t>JR Umekoji-Kyotonishi</t>
        </is>
      </c>
      <c r="AF94" s="16" t="inlineStr">
        <is>
          <t>Buena en áreas principales; confirmar detalles con el recinto</t>
        </is>
      </c>
      <c r="AG94" s="90" t="n">
        <v>34.9876</v>
      </c>
      <c r="AH94" s="90" t="n">
        <v>135.743</v>
      </c>
      <c r="AI94" s="16" t="inlineStr">
        <is>
          <t>https://www.kyotorailwaymuseum.jp/en/</t>
        </is>
      </c>
      <c r="AJ94" s="16" t="inlineStr">
        <is>
          <t>Cambiante</t>
        </is>
      </c>
      <c r="AK94" s="16" t="inlineStr">
        <is>
          <t>TRAIN</t>
        </is>
      </c>
      <c r="AL94" s="16" t="inlineStr">
        <is>
          <t>trenes, tecnología, familia, historia</t>
        </is>
      </c>
      <c r="AM94" s="91" t="n">
        <v>5</v>
      </c>
      <c r="AN94" s="91" t="n">
        <v>5</v>
      </c>
      <c r="AO94" s="91" t="n">
        <v>5</v>
      </c>
      <c r="AP94" s="91" t="n">
        <v>3</v>
      </c>
      <c r="AQ94" s="16" t="inlineStr">
        <is>
          <t>Imagen ideal: la escala industrial y variedad hacen que funcione también sin ser fan. con luz de mañana, sin multitudes dominando el encuadre.</t>
        </is>
      </c>
      <c r="AR94" s="16" t="inlineStr">
        <is>
          <t>teamLab Biovortex Kyoto (~35 min en transporte) | Sanjūsangen-dō (~37 min en transporte) | Kyoto National Museum (~38 min en transporte)</t>
        </is>
      </c>
      <c r="AS94" s="16" t="inlineStr">
        <is>
          <t>Lugar conocido pero excelente</t>
        </is>
      </c>
      <c r="AT94" s="16" t="str"/>
      <c r="AU94" s="16" t="inlineStr">
        <is>
          <t>https://www.google.com/maps/search/?api=1&amp;query=Kyoto%20Railway%20Museum%2C%20Kyoto%2C%20Japan</t>
        </is>
      </c>
      <c r="AV94" s="16" t="inlineStr">
        <is>
          <t>2026-09-01</t>
        </is>
      </c>
      <c r="AW94" s="16" t="inlineStr">
        <is>
          <t>CALENDARIO / CONDICIÓN PENDIENTE</t>
        </is>
      </c>
      <c r="AX94" s="16" t="inlineStr">
        <is>
          <t>No hay cierre específico confirmado para la ventana, pero horarios o acceso pueden variar.</t>
        </is>
      </c>
      <c r="AY94" s="16" t="inlineStr">
        <is>
          <t>Reconfirmar en la web oficial al fijar fechas.</t>
        </is>
      </c>
    </row>
    <row r="95" ht="66" customHeight="1">
      <c r="A95" s="16" t="inlineStr">
        <is>
          <t>JP-094</t>
        </is>
      </c>
      <c r="B95" s="16" t="inlineStr">
        <is>
          <t>Kioto</t>
        </is>
      </c>
      <c r="C95" s="16" t="inlineStr">
        <is>
          <t>Kansai</t>
        </is>
      </c>
      <c r="D95" s="16" t="inlineStr">
        <is>
          <t>Kioto</t>
        </is>
      </c>
      <c r="E95" s="16" t="inlineStr">
        <is>
          <t>Kyoto</t>
        </is>
      </c>
      <c r="F95" s="16" t="inlineStr">
        <is>
          <t>Higashiyama</t>
        </is>
      </c>
      <c r="G95" s="16" t="inlineStr">
        <is>
          <t>Station–South</t>
        </is>
      </c>
      <c r="H95" s="16" t="inlineStr">
        <is>
          <t>Kyoto National Museum</t>
        </is>
      </c>
      <c r="I95" s="16" t="inlineStr">
        <is>
          <t>京都国立博物館</t>
        </is>
      </c>
      <c r="J95" s="16" t="inlineStr">
        <is>
          <t>Kyoto National Museum</t>
        </is>
      </c>
      <c r="K95" s="16" t="inlineStr">
        <is>
          <t>🏛️ Museos</t>
        </is>
      </c>
      <c r="L95" s="16" t="inlineStr">
        <is>
          <t>museo nacional</t>
        </is>
      </c>
      <c r="M95" s="16" t="inlineStr">
        <is>
          <t>A</t>
        </is>
      </c>
      <c r="N95" s="16" t="inlineStr">
        <is>
          <t>Colecciones y exposiciones esenciales para profundizar en arte japonés.</t>
        </is>
      </c>
      <c r="O95" s="16" t="inlineStr">
        <is>
          <t>Museo nacional de arte, arqueología y tesoros de templos.</t>
        </is>
      </c>
      <c r="P95" s="16" t="inlineStr">
        <is>
          <t>Da contexto material a lo visto en santuarios y palacios.</t>
        </is>
      </c>
      <c r="Q95" s="16" t="inlineStr">
        <is>
          <t>Museo nacional de arte, arqueología y tesoros de templos.</t>
        </is>
      </c>
      <c r="R95" s="16" t="inlineStr">
        <is>
          <t>2–4 h</t>
        </is>
      </c>
      <c r="S95" s="16" t="inlineStr">
        <is>
          <t>Tarde</t>
        </is>
      </c>
      <c r="T95" s="16" t="inlineStr">
        <is>
          <t>Todo el año</t>
        </is>
      </c>
      <c r="U95" s="16" t="inlineStr">
        <is>
          <t>Medio</t>
        </is>
      </c>
      <c r="V95" s="16" t="inlineStr">
        <is>
          <t>Medio</t>
        </is>
      </c>
      <c r="W95" s="89" t="n">
        <v>700</v>
      </c>
      <c r="X95" s="89" t="n">
        <v>2000</v>
      </c>
      <c r="Y95" s="89">
        <f>W95*'Configuración'!$B$4</f>
        <v/>
      </c>
      <c r="Z95" s="89">
        <f>X95*'Configuración'!$B$4</f>
        <v/>
      </c>
      <c r="AA95" s="16" t="inlineStr">
        <is>
          <t>Recomendable</t>
        </is>
      </c>
      <c r="AB95" s="16" t="inlineStr">
        <is>
          <t>Según exposición</t>
        </is>
      </c>
      <c r="AC95" s="16" t="inlineStr">
        <is>
          <t>09:30–17:00 aprox.</t>
        </is>
      </c>
      <c r="AD95" s="16" t="inlineStr">
        <is>
          <t>Lunes; verificar</t>
        </is>
      </c>
      <c r="AE95" s="16" t="inlineStr">
        <is>
          <t>Bus Hakubutsukan Sanjusangendo-mae</t>
        </is>
      </c>
      <c r="AF95" s="16" t="inlineStr">
        <is>
          <t>Buena en áreas principales; confirmar detalles con el recinto</t>
        </is>
      </c>
      <c r="AG95" s="90" t="n">
        <v>34.99</v>
      </c>
      <c r="AH95" s="90" t="n">
        <v>135.773</v>
      </c>
      <c r="AI95" s="16" t="inlineStr">
        <is>
          <t>https://www.kyohaku.go.jp/eng/</t>
        </is>
      </c>
      <c r="AJ95" s="16" t="inlineStr">
        <is>
          <t>Cambiante</t>
        </is>
      </c>
      <c r="AK95" s="16" t="inlineStr">
        <is>
          <t>ART / HISTORY</t>
        </is>
      </c>
      <c r="AL95" s="16" t="inlineStr">
        <is>
          <t>arte, historia, lluvia</t>
        </is>
      </c>
      <c r="AM95" s="91" t="n">
        <v>4</v>
      </c>
      <c r="AN95" s="91" t="n">
        <v>5</v>
      </c>
      <c r="AO95" s="91" t="n">
        <v>5</v>
      </c>
      <c r="AP95" s="91" t="n">
        <v>2</v>
      </c>
      <c r="AQ95" s="16" t="inlineStr">
        <is>
          <t>Imagen ideal: da contexto material a lo visto en santuarios y palacios. con luz de tarde, sin multitudes dominando el encuadre.</t>
        </is>
      </c>
      <c r="AR95" s="16" t="inlineStr">
        <is>
          <t>Sanjūsangen-dō (~4 min a pie) | Gion Corner (~16 min a pie) | Kennin-ji (~17 min a pie)</t>
        </is>
      </c>
      <c r="AS95" s="16" t="inlineStr">
        <is>
          <t>Lugar conocido pero excelente</t>
        </is>
      </c>
      <c r="AT95" s="16" t="str"/>
      <c r="AU95" s="16" t="inlineStr">
        <is>
          <t>https://www.google.com/maps/search/?api=1&amp;query=Kyoto%20National%20Museum%2C%20Kyoto%2C%20Japan</t>
        </is>
      </c>
      <c r="AV95" s="16" t="inlineStr">
        <is>
          <t>2026-09-01</t>
        </is>
      </c>
      <c r="AW95" s="16" t="inlineStr">
        <is>
          <t>CIERRE PARCIAL DESDE 24 MAR</t>
        </is>
      </c>
      <c r="AX95" s="16" t="inlineStr">
        <is>
          <t>Galerías previstas abiertas 2 ene–22 mar 2027; 24 mar–18 abr solo jardines y exteriores.</t>
        </is>
      </c>
      <c r="AY95" s="16" t="inlineStr">
        <is>
          <t>Evitar después del 22 de marzo si interesan las colecciones interiores.</t>
        </is>
      </c>
    </row>
    <row r="96" ht="66" customHeight="1">
      <c r="A96" s="16" t="inlineStr">
        <is>
          <t>JP-095</t>
        </is>
      </c>
      <c r="B96" s="16" t="inlineStr">
        <is>
          <t>Kioto</t>
        </is>
      </c>
      <c r="C96" s="16" t="inlineStr">
        <is>
          <t>Kansai</t>
        </is>
      </c>
      <c r="D96" s="16" t="inlineStr">
        <is>
          <t>Kioto</t>
        </is>
      </c>
      <c r="E96" s="16" t="inlineStr">
        <is>
          <t>Kyoto</t>
        </is>
      </c>
      <c r="F96" s="16" t="inlineStr">
        <is>
          <t>Higashikujo</t>
        </is>
      </c>
      <c r="G96" s="16" t="inlineStr">
        <is>
          <t>Station–South</t>
        </is>
      </c>
      <c r="H96" s="16" t="inlineStr">
        <is>
          <t>teamLab Biovortex Kyoto</t>
        </is>
      </c>
      <c r="I96" s="16" t="inlineStr">
        <is>
          <t>チームラボ バイオヴォルテックス 京都</t>
        </is>
      </c>
      <c r="J96" s="16" t="inlineStr">
        <is>
          <t>teamLab Biovortex Kyoto</t>
        </is>
      </c>
      <c r="K96" s="16" t="inlineStr">
        <is>
          <t>🎨 Arte</t>
        </is>
      </c>
      <c r="L96" s="16" t="inlineStr">
        <is>
          <t>museo inmersivo</t>
        </is>
      </c>
      <c r="M96" s="16" t="inlineStr">
        <is>
          <t>A</t>
        </is>
      </c>
      <c r="N96" s="16" t="inlineStr">
        <is>
          <t>Es la mayor instalación permanente de teamLab en Japón y una experiencia física extensa. Clasificación v2: excelente y muy recomendable, pero no justifica por sí sola adaptar la ruta.</t>
        </is>
      </c>
      <c r="O96" s="16" t="inlineStr">
        <is>
          <t>Más de 50 obras inmersivas en unos 10,000 m².</t>
        </is>
      </c>
      <c r="P96" s="16" t="inlineStr">
        <is>
          <t>Mayor escala y componente atlético que las sedes de Tokio.</t>
        </is>
      </c>
      <c r="Q96" s="16" t="inlineStr">
        <is>
          <t>Más de 50 obras inmersivas en unos 10,000 m².</t>
        </is>
      </c>
      <c r="R96" s="16" t="inlineStr">
        <is>
          <t>3–4.5 h</t>
        </is>
      </c>
      <c r="S96" s="16" t="inlineStr">
        <is>
          <t>Mañana</t>
        </is>
      </c>
      <c r="T96" s="16" t="inlineStr">
        <is>
          <t>Todo el año</t>
        </is>
      </c>
      <c r="U96" s="16" t="inlineStr">
        <is>
          <t>Extremo</t>
        </is>
      </c>
      <c r="V96" s="16" t="inlineStr">
        <is>
          <t>Alto</t>
        </is>
      </c>
      <c r="W96" s="89" t="n">
        <v>3400</v>
      </c>
      <c r="X96" s="89" t="n">
        <v>5000</v>
      </c>
      <c r="Y96" s="89">
        <f>W96*'Configuración'!$B$4</f>
        <v/>
      </c>
      <c r="Z96" s="89">
        <f>X96*'Configuración'!$B$4</f>
        <v/>
      </c>
      <c r="AA96" s="16" t="inlineStr">
        <is>
          <t>Sí</t>
        </is>
      </c>
      <c r="AB96" s="16" t="inlineStr">
        <is>
          <t>2–4 semanas</t>
        </is>
      </c>
      <c r="AC96" s="16" t="inlineStr">
        <is>
          <t>09:00–21:00 aprox.; verificar fecha</t>
        </is>
      </c>
      <c r="AD96" s="16" t="inlineStr">
        <is>
          <t>Variable</t>
        </is>
      </c>
      <c r="AE96" s="16" t="inlineStr">
        <is>
          <t>Kyoto Station Hachijo East + 10 min</t>
        </is>
      </c>
      <c r="AF96" s="16" t="inlineStr">
        <is>
          <t>Buena en áreas principales; confirmar detalles con el recinto</t>
        </is>
      </c>
      <c r="AG96" s="90" t="n">
        <v>34.9793</v>
      </c>
      <c r="AH96" s="90" t="n">
        <v>135.7686</v>
      </c>
      <c r="AI96" s="16" t="inlineStr">
        <is>
          <t>https://www.teamlab.art/e/kyoto/</t>
        </is>
      </c>
      <c r="AJ96" s="16" t="inlineStr">
        <is>
          <t>Cambiante</t>
        </is>
      </c>
      <c r="AK96" s="16" t="inlineStr">
        <is>
          <t>MUST SEE / ART</t>
        </is>
      </c>
      <c r="AL96" s="16" t="inlineStr">
        <is>
          <t>pareja, arte, tecnología, fotografía</t>
        </is>
      </c>
      <c r="AM96" s="91" t="n">
        <v>5</v>
      </c>
      <c r="AN96" s="91" t="n">
        <v>5</v>
      </c>
      <c r="AO96" s="91" t="n">
        <v>4</v>
      </c>
      <c r="AP96" s="91" t="n">
        <v>4</v>
      </c>
      <c r="AQ96" s="16" t="inlineStr">
        <is>
          <t>Imagen ideal: mayor escala y componente atlético que las sedes de tokio. con luz de mañana, sin multitudes dominando el encuadre.</t>
        </is>
      </c>
      <c r="AR96" s="16" t="inlineStr">
        <is>
          <t>Tōfuku-ji (~8 min a pie) | Sanjūsangen-dō (~14 min a pie) | Kyoto National Museum (~18 min a pie)</t>
        </is>
      </c>
      <c r="AS96" s="16" t="inlineStr">
        <is>
          <t>Popular / turístico</t>
        </is>
      </c>
      <c r="AT96" s="16" t="str"/>
      <c r="AU96" s="16" t="inlineStr">
        <is>
          <t>https://www.google.com/maps/search/?api=1&amp;query=teamLab%20Biovortex%20Kyoto%2C%20Kyoto%2C%20Japan</t>
        </is>
      </c>
      <c r="AV96" s="16" t="inlineStr">
        <is>
          <t>2026-09-01</t>
        </is>
      </c>
      <c r="AW96" s="16" t="inlineStr">
        <is>
          <t>CALENDARIO / CONDICIÓN PENDIENTE</t>
        </is>
      </c>
      <c r="AX96" s="16" t="inlineStr">
        <is>
          <t>No hay cierre específico confirmado para la ventana, pero horarios o acceso pueden variar.</t>
        </is>
      </c>
      <c r="AY96" s="16" t="inlineStr">
        <is>
          <t>Reconfirmar en la web oficial al fijar fechas.</t>
        </is>
      </c>
    </row>
    <row r="97" ht="66" customHeight="1">
      <c r="A97" s="16" t="inlineStr">
        <is>
          <t>JP-096</t>
        </is>
      </c>
      <c r="B97" s="16" t="inlineStr">
        <is>
          <t>Kioto</t>
        </is>
      </c>
      <c r="C97" s="16" t="inlineStr">
        <is>
          <t>Kansai</t>
        </is>
      </c>
      <c r="D97" s="16" t="inlineStr">
        <is>
          <t>Kioto</t>
        </is>
      </c>
      <c r="E97" s="16" t="inlineStr">
        <is>
          <t>Kyoto</t>
        </is>
      </c>
      <c r="F97" s="16" t="inlineStr">
        <is>
          <t>Higashiyama</t>
        </is>
      </c>
      <c r="G97" s="16" t="inlineStr">
        <is>
          <t>Station–South</t>
        </is>
      </c>
      <c r="H97" s="16" t="inlineStr">
        <is>
          <t>Sanjūsangen-dō</t>
        </is>
      </c>
      <c r="I97" s="16" t="inlineStr">
        <is>
          <t>三十三間堂</t>
        </is>
      </c>
      <c r="J97" s="16" t="inlineStr">
        <is>
          <t>Sanjūsangen-dō</t>
        </is>
      </c>
      <c r="K97" s="16" t="inlineStr">
        <is>
          <t>⛩️ Templos y santuarios</t>
        </is>
      </c>
      <c r="L97" s="16" t="inlineStr">
        <is>
          <t>templo</t>
        </is>
      </c>
      <c r="M97" s="16" t="inlineStr">
        <is>
          <t>S</t>
        </is>
      </c>
      <c r="N97" s="16" t="inlineStr">
        <is>
          <t>Las 1,001 estatuas de Kannon crean uno de los interiores más impactantes de Japón.</t>
        </is>
      </c>
      <c r="O97" s="16" t="inlineStr">
        <is>
          <t>Salón de 120 m con filas de esculturas budistas.</t>
        </is>
      </c>
      <c r="P97" s="16" t="inlineStr">
        <is>
          <t>El impacto es acumulativo y no depende de fotografía —que está prohibida dentro.</t>
        </is>
      </c>
      <c r="Q97" s="16" t="inlineStr">
        <is>
          <t>Salón de 120 m con filas de esculturas budistas.</t>
        </is>
      </c>
      <c r="R97" s="16" t="inlineStr">
        <is>
          <t>1–1.5 h</t>
        </is>
      </c>
      <c r="S97" s="16" t="inlineStr">
        <is>
          <t>Mañana</t>
        </is>
      </c>
      <c r="T97" s="16" t="inlineStr">
        <is>
          <t>Todo el año</t>
        </is>
      </c>
      <c r="U97" s="16" t="inlineStr">
        <is>
          <t>Alto</t>
        </is>
      </c>
      <c r="V97" s="16" t="inlineStr">
        <is>
          <t>Alto</t>
        </is>
      </c>
      <c r="W97" s="89" t="n">
        <v>600</v>
      </c>
      <c r="X97" s="89" t="n">
        <v>600</v>
      </c>
      <c r="Y97" s="89">
        <f>W97*'Configuración'!$B$4</f>
        <v/>
      </c>
      <c r="Z97" s="89">
        <f>X97*'Configuración'!$B$4</f>
        <v/>
      </c>
      <c r="AA97" s="16" t="inlineStr">
        <is>
          <t>No</t>
        </is>
      </c>
      <c r="AB97" s="16" t="inlineStr">
        <is>
          <t>—</t>
        </is>
      </c>
      <c r="AC97" s="16" t="inlineStr">
        <is>
          <t>08:30–17:00 según temporada</t>
        </is>
      </c>
      <c r="AD97" s="16" t="inlineStr">
        <is>
          <t>Sin cierre ordinario</t>
        </is>
      </c>
      <c r="AE97" s="16" t="inlineStr">
        <is>
          <t>Bus Hakubutsukan Sanjusangendo-mae</t>
        </is>
      </c>
      <c r="AF97" s="16" t="inlineStr">
        <is>
          <t>Parcial; pueden existir escalones, grava o edificios sin elevador</t>
        </is>
      </c>
      <c r="AG97" s="90" t="n">
        <v>34.9879</v>
      </c>
      <c r="AH97" s="90" t="n">
        <v>135.7717</v>
      </c>
      <c r="AI97" s="16" t="inlineStr">
        <is>
          <t>https://www.sanjusangendo.jp/</t>
        </is>
      </c>
      <c r="AJ97" s="16" t="inlineStr">
        <is>
          <t>Cambiante</t>
        </is>
      </c>
      <c r="AK97" s="16" t="inlineStr">
        <is>
          <t>MUST SEE</t>
        </is>
      </c>
      <c r="AL97" s="16" t="inlineStr">
        <is>
          <t>arte, cultura, historia</t>
        </is>
      </c>
      <c r="AM97" s="91" t="n">
        <v>4</v>
      </c>
      <c r="AN97" s="91" t="n">
        <v>5</v>
      </c>
      <c r="AO97" s="91" t="n">
        <v>5</v>
      </c>
      <c r="AP97" s="91" t="n">
        <v>4</v>
      </c>
      <c r="AQ97" s="16" t="inlineStr">
        <is>
          <t>Imagen ideal: el impacto es acumulativo y no depende de fotografía —que está prohibida dentro. con luz de mañana, sin multitudes dominando el encuadre.</t>
        </is>
      </c>
      <c r="AR97" s="16" t="inlineStr">
        <is>
          <t>Kyoto National Museum (~4 min a pie) | teamLab Biovortex Kyoto (~14 min a pie) | Tōfuku-ji (~18 min a pie)</t>
        </is>
      </c>
      <c r="AS97" s="16" t="inlineStr">
        <is>
          <t>Popular / turístico</t>
        </is>
      </c>
      <c r="AT97" s="16" t="str"/>
      <c r="AU97" s="16" t="inlineStr">
        <is>
          <t>https://www.google.com/maps/search/?api=1&amp;query=Sanj%C5%ABsangen-d%C5%8D%2C%20Kyoto%2C%20Japan</t>
        </is>
      </c>
      <c r="AV97" s="16" t="inlineStr">
        <is>
          <t>2026-09-01</t>
        </is>
      </c>
      <c r="AW97" s="16" t="inlineStr">
        <is>
          <t>CALENDARIO / CONDICIÓN PENDIENTE</t>
        </is>
      </c>
      <c r="AX97" s="16" t="inlineStr">
        <is>
          <t>No hay cierre específico confirmado para la ventana, pero horarios o acceso pueden variar.</t>
        </is>
      </c>
      <c r="AY97" s="16" t="inlineStr">
        <is>
          <t>Reconfirmar en la web oficial al fijar fechas.</t>
        </is>
      </c>
    </row>
    <row r="98" ht="66" customHeight="1">
      <c r="A98" s="16" t="inlineStr">
        <is>
          <t>JP-097</t>
        </is>
      </c>
      <c r="B98" s="16" t="inlineStr">
        <is>
          <t>Kioto</t>
        </is>
      </c>
      <c r="C98" s="16" t="inlineStr">
        <is>
          <t>Kansai</t>
        </is>
      </c>
      <c r="D98" s="16" t="inlineStr">
        <is>
          <t>Kioto</t>
        </is>
      </c>
      <c r="E98" s="16" t="inlineStr">
        <is>
          <t>Uji</t>
        </is>
      </c>
      <c r="F98" s="16" t="inlineStr">
        <is>
          <t>Ogura</t>
        </is>
      </c>
      <c r="G98" s="16" t="inlineStr">
        <is>
          <t>Uji</t>
        </is>
      </c>
      <c r="H98" s="16" t="inlineStr">
        <is>
          <t>Nintendo Museum</t>
        </is>
      </c>
      <c r="I98" s="16" t="inlineStr">
        <is>
          <t>ニンテンドーミュージアム</t>
        </is>
      </c>
      <c r="J98" s="16" t="inlineStr">
        <is>
          <t>Nintendo Museum</t>
        </is>
      </c>
      <c r="K98" s="16" t="inlineStr">
        <is>
          <t>🎮 Videojuegos</t>
        </is>
      </c>
      <c r="L98" s="16" t="inlineStr">
        <is>
          <t>museo/experiencia</t>
        </is>
      </c>
      <c r="M98" s="16" t="inlineStr">
        <is>
          <t>S</t>
        </is>
      </c>
      <c r="N98" s="16" t="inlineStr">
        <is>
          <t>La colección corporativa y juegos interactivos justifican el desvío para cualquier fan de Nintendo.</t>
        </is>
      </c>
      <c r="O98" s="16" t="inlineStr">
        <is>
          <t>Museo en una antigua planta de cartas y consolas de Nintendo.</t>
        </is>
      </c>
      <c r="P98" s="16" t="inlineStr">
        <is>
          <t>Une historia industrial, diseño de producto y juego físico.</t>
        </is>
      </c>
      <c r="Q98" s="16" t="inlineStr">
        <is>
          <t>Museo en una antigua planta de cartas y consolas de Nintendo.</t>
        </is>
      </c>
      <c r="R98" s="16" t="inlineStr">
        <is>
          <t>3–4 h</t>
        </is>
      </c>
      <c r="S98" s="16" t="inlineStr">
        <is>
          <t>Mañana</t>
        </is>
      </c>
      <c r="T98" s="16" t="inlineStr">
        <is>
          <t>Todo el año</t>
        </is>
      </c>
      <c r="U98" s="16" t="inlineStr">
        <is>
          <t>Alto</t>
        </is>
      </c>
      <c r="V98" s="16" t="inlineStr">
        <is>
          <t>Alto</t>
        </is>
      </c>
      <c r="W98" s="89" t="n">
        <v>3300</v>
      </c>
      <c r="X98" s="89" t="n">
        <v>3300</v>
      </c>
      <c r="Y98" s="89">
        <f>W98*'Configuración'!$B$4</f>
        <v/>
      </c>
      <c r="Z98" s="89">
        <f>X98*'Configuración'!$B$4</f>
        <v/>
      </c>
      <c r="AA98" s="16" t="inlineStr">
        <is>
          <t>Sí</t>
        </is>
      </c>
      <c r="AB98" s="16" t="inlineStr">
        <is>
          <t>Lotería 3 meses antes; revisar liberaciones</t>
        </is>
      </c>
      <c r="AC98" s="16" t="inlineStr">
        <is>
          <t>Horario asignado</t>
        </is>
      </c>
      <c r="AD98" s="16" t="inlineStr">
        <is>
          <t>Martes y calendario</t>
        </is>
      </c>
      <c r="AE98" s="16" t="inlineStr">
        <is>
          <t>Kintetsu Ogura, 5–10 min</t>
        </is>
      </c>
      <c r="AF98" s="16" t="inlineStr">
        <is>
          <t>Buena en áreas principales; confirmar detalles con el recinto</t>
        </is>
      </c>
      <c r="AG98" s="90" t="n">
        <v>34.8899</v>
      </c>
      <c r="AH98" s="90" t="n">
        <v>135.7866</v>
      </c>
      <c r="AI98" s="16" t="inlineStr">
        <is>
          <t>https://museum.nintendo.com/en/index.html</t>
        </is>
      </c>
      <c r="AJ98" s="16" t="inlineStr">
        <is>
          <t>Cambiante</t>
        </is>
      </c>
      <c r="AK98" s="16" t="inlineStr">
        <is>
          <t>MUST SEE / GAMING</t>
        </is>
      </c>
      <c r="AL98" s="16" t="inlineStr">
        <is>
          <t>videojuegos, diseño, historia</t>
        </is>
      </c>
      <c r="AM98" s="91" t="n">
        <v>5</v>
      </c>
      <c r="AN98" s="91" t="n">
        <v>5</v>
      </c>
      <c r="AO98" s="91" t="n">
        <v>4</v>
      </c>
      <c r="AP98" s="91" t="n">
        <v>4</v>
      </c>
      <c r="AQ98" s="16" t="inlineStr">
        <is>
          <t>Imagen ideal: une historia industrial, diseño de producto y juego físico. con luz de mañana, sin multitudes dominando el encuadre.</t>
        </is>
      </c>
      <c r="AR98" s="16" t="inlineStr">
        <is>
          <t>Uji tea experience (~25 min a pie) | Byōdō-in (~27 min en transporte)</t>
        </is>
      </c>
      <c r="AS98" s="16" t="inlineStr">
        <is>
          <t>Popular / turístico</t>
        </is>
      </c>
      <c r="AT98" s="16" t="str"/>
      <c r="AU98" s="16" t="inlineStr">
        <is>
          <t>https://www.google.com/maps/search/?api=1&amp;query=Nintendo%20Museum%2C%20Uji%2C%20Japan</t>
        </is>
      </c>
      <c r="AV98" s="16" t="inlineStr">
        <is>
          <t>2026-09-01</t>
        </is>
      </c>
      <c r="AW98" s="16" t="inlineStr">
        <is>
          <t>VENTA FUTURA / SORTEO</t>
        </is>
      </c>
      <c r="AX98" s="16" t="inlineStr">
        <is>
          <t>La solicitud oficial se realiza tres meses antes.</t>
        </is>
      </c>
      <c r="AY98" s="16" t="inlineStr">
        <is>
          <t>Si la regla sigue: noviembre de 2026 para febrero; diciembre para marzo.</t>
        </is>
      </c>
    </row>
    <row r="99" ht="66" customHeight="1">
      <c r="A99" s="16" t="inlineStr">
        <is>
          <t>JP-098</t>
        </is>
      </c>
      <c r="B99" s="16" t="inlineStr">
        <is>
          <t>Kioto</t>
        </is>
      </c>
      <c r="C99" s="16" t="inlineStr">
        <is>
          <t>Kansai</t>
        </is>
      </c>
      <c r="D99" s="16" t="inlineStr">
        <is>
          <t>Kioto</t>
        </is>
      </c>
      <c r="E99" s="16" t="inlineStr">
        <is>
          <t>Uji</t>
        </is>
      </c>
      <c r="F99" s="16" t="inlineStr">
        <is>
          <t>Uji</t>
        </is>
      </c>
      <c r="G99" s="16" t="inlineStr">
        <is>
          <t>Uji</t>
        </is>
      </c>
      <c r="H99" s="16" t="inlineStr">
        <is>
          <t>Byōdō-in</t>
        </is>
      </c>
      <c r="I99" s="16" t="inlineStr">
        <is>
          <t>平等院</t>
        </is>
      </c>
      <c r="J99" s="16" t="inlineStr">
        <is>
          <t>Byōdō-in</t>
        </is>
      </c>
      <c r="K99" s="16" t="inlineStr">
        <is>
          <t>🏯 Historia y patrimonio</t>
        </is>
      </c>
      <c r="L99" s="16" t="inlineStr">
        <is>
          <t>templo/museo</t>
        </is>
      </c>
      <c r="M99" s="16" t="inlineStr">
        <is>
          <t>A</t>
        </is>
      </c>
      <c r="N99" s="16" t="inlineStr">
        <is>
          <t>La arquitectura del Salón Fénix y su reflejo justifican Uji incluso sin interés por el té. Clasificación v2: excelente y muy recomendable, pero no justifica por sí sola adaptar la ruta.</t>
        </is>
      </c>
      <c r="O99" s="16" t="inlineStr">
        <is>
          <t>Templo Heian representado en la moneda de 10 yenes.</t>
        </is>
      </c>
      <c r="P99" s="16" t="inlineStr">
        <is>
          <t>Conserva una imagen casi arquetípica del paraíso budista.</t>
        </is>
      </c>
      <c r="Q99" s="16" t="inlineStr">
        <is>
          <t>Templo Heian representado en la moneda de 10 yenes.</t>
        </is>
      </c>
      <c r="R99" s="16" t="inlineStr">
        <is>
          <t>1.5–2.5 h</t>
        </is>
      </c>
      <c r="S99" s="16" t="inlineStr">
        <is>
          <t>Mañana</t>
        </is>
      </c>
      <c r="T99" s="16" t="inlineStr">
        <is>
          <t>Glicinas en primavera; otoño</t>
        </is>
      </c>
      <c r="U99" s="16" t="inlineStr">
        <is>
          <t>Alto</t>
        </is>
      </c>
      <c r="V99" s="16" t="inlineStr">
        <is>
          <t>Alto</t>
        </is>
      </c>
      <c r="W99" s="89" t="n">
        <v>700</v>
      </c>
      <c r="X99" s="89" t="n">
        <v>1000</v>
      </c>
      <c r="Y99" s="89">
        <f>W99*'Configuración'!$B$4</f>
        <v/>
      </c>
      <c r="Z99" s="89">
        <f>X99*'Configuración'!$B$4</f>
        <v/>
      </c>
      <c r="AA99" s="16" t="inlineStr">
        <is>
          <t>No</t>
        </is>
      </c>
      <c r="AB99" s="16" t="inlineStr">
        <is>
          <t>—</t>
        </is>
      </c>
      <c r="AC99" s="16" t="inlineStr">
        <is>
          <t>08:30–17:30 aprox.</t>
        </is>
      </c>
      <c r="AD99" s="16" t="inlineStr">
        <is>
          <t>Sin cierre ordinario</t>
        </is>
      </c>
      <c r="AE99" s="16" t="inlineStr">
        <is>
          <t>JR/Keihan Uji</t>
        </is>
      </c>
      <c r="AF99" s="16" t="inlineStr">
        <is>
          <t>Parcial; pueden existir escalones, grava o edificios sin elevador</t>
        </is>
      </c>
      <c r="AG99" s="90" t="n">
        <v>34.8893</v>
      </c>
      <c r="AH99" s="90" t="n">
        <v>135.8077</v>
      </c>
      <c r="AI99" s="16" t="inlineStr">
        <is>
          <t>https://www.byodoin.or.jp/en/</t>
        </is>
      </c>
      <c r="AJ99" s="16" t="inlineStr">
        <is>
          <t>Cambiante</t>
        </is>
      </c>
      <c r="AK99" s="16" t="inlineStr">
        <is>
          <t>MUST SEE</t>
        </is>
      </c>
      <c r="AL99" s="16" t="inlineStr">
        <is>
          <t>historia, fotografía, jardines</t>
        </is>
      </c>
      <c r="AM99" s="91" t="n">
        <v>5</v>
      </c>
      <c r="AN99" s="91" t="n">
        <v>5</v>
      </c>
      <c r="AO99" s="91" t="n">
        <v>5</v>
      </c>
      <c r="AP99" s="91" t="n">
        <v>4</v>
      </c>
      <c r="AQ99" s="16" t="inlineStr">
        <is>
          <t>Imagen ideal: conserva una imagen casi arquetípica del paraíso budista. con luz de mañana, sin multitudes dominando el encuadre.</t>
        </is>
      </c>
      <c r="AR99" s="16" t="inlineStr">
        <is>
          <t>Uji tea experience (~3 min a pie) | Nintendo Museum (~27 min en transporte)</t>
        </is>
      </c>
      <c r="AS99" s="16" t="inlineStr">
        <is>
          <t>Popular / turístico</t>
        </is>
      </c>
      <c r="AT99" s="16" t="str"/>
      <c r="AU99" s="16" t="inlineStr">
        <is>
          <t>https://www.google.com/maps/search/?api=1&amp;query=By%C5%8Dd%C5%8D-in%2C%20Uji%2C%20Japan</t>
        </is>
      </c>
      <c r="AV99" s="16" t="inlineStr">
        <is>
          <t>2026-09-01</t>
        </is>
      </c>
      <c r="AW99" s="16" t="inlineStr">
        <is>
          <t>CALENDARIO / CONDICIÓN PENDIENTE</t>
        </is>
      </c>
      <c r="AX99" s="16" t="inlineStr">
        <is>
          <t>No hay cierre específico confirmado para la ventana, pero horarios o acceso pueden variar.</t>
        </is>
      </c>
      <c r="AY99" s="16" t="inlineStr">
        <is>
          <t>Reconfirmar en la web oficial al fijar fechas.</t>
        </is>
      </c>
    </row>
    <row r="100" ht="66" customHeight="1">
      <c r="A100" s="16" t="inlineStr">
        <is>
          <t>JP-099</t>
        </is>
      </c>
      <c r="B100" s="16" t="inlineStr">
        <is>
          <t>Kioto</t>
        </is>
      </c>
      <c r="C100" s="16" t="inlineStr">
        <is>
          <t>Kansai</t>
        </is>
      </c>
      <c r="D100" s="16" t="inlineStr">
        <is>
          <t>Kioto</t>
        </is>
      </c>
      <c r="E100" s="16" t="inlineStr">
        <is>
          <t>Uji</t>
        </is>
      </c>
      <c r="F100" s="16" t="inlineStr">
        <is>
          <t>Uji</t>
        </is>
      </c>
      <c r="G100" s="16" t="inlineStr">
        <is>
          <t>Uji</t>
        </is>
      </c>
      <c r="H100" s="16" t="inlineStr">
        <is>
          <t>Uji tea experience</t>
        </is>
      </c>
      <c r="I100" s="16" t="inlineStr">
        <is>
          <t>宇治茶体験</t>
        </is>
      </c>
      <c r="J100" s="16" t="inlineStr">
        <is>
          <t>Uji tea experience</t>
        </is>
      </c>
      <c r="K100" s="16" t="inlineStr">
        <is>
          <t>🍵 Cultura tradicional</t>
        </is>
      </c>
      <c r="L100" s="16" t="inlineStr">
        <is>
          <t>experiencia gastronómica</t>
        </is>
      </c>
      <c r="M100" s="16" t="inlineStr">
        <is>
          <t>A</t>
        </is>
      </c>
      <c r="N100" s="16" t="inlineStr">
        <is>
          <t>Prueba el matcha en su contexto productivo y evita reducir Uji a postres virales.</t>
        </is>
      </c>
      <c r="O100" s="16" t="inlineStr">
        <is>
          <t>Catas, molienda de matcha y casas históricas de té.</t>
        </is>
      </c>
      <c r="P100" s="16" t="inlineStr">
        <is>
          <t>La calidad depende del productor y la explicación, no solo de la estética.</t>
        </is>
      </c>
      <c r="Q100" s="16" t="inlineStr">
        <is>
          <t>Catas, molienda de matcha y casas históricas de té.</t>
        </is>
      </c>
      <c r="R100" s="16" t="inlineStr">
        <is>
          <t>1–2 h</t>
        </is>
      </c>
      <c r="S100" s="16" t="inlineStr">
        <is>
          <t>Tarde</t>
        </is>
      </c>
      <c r="T100" s="16" t="inlineStr">
        <is>
          <t>Todo el año; cosecha en primavera</t>
        </is>
      </c>
      <c r="U100" s="16" t="inlineStr">
        <is>
          <t>Medio</t>
        </is>
      </c>
      <c r="V100" s="16" t="inlineStr">
        <is>
          <t>Medio</t>
        </is>
      </c>
      <c r="W100" s="89" t="n">
        <v>1000</v>
      </c>
      <c r="X100" s="89" t="n">
        <v>5000</v>
      </c>
      <c r="Y100" s="89">
        <f>W100*'Configuración'!$B$4</f>
        <v/>
      </c>
      <c r="Z100" s="89">
        <f>X100*'Configuración'!$B$4</f>
        <v/>
      </c>
      <c r="AA100" s="16" t="inlineStr">
        <is>
          <t>Recomendable</t>
        </is>
      </c>
      <c r="AB100" s="16" t="inlineStr">
        <is>
          <t>Días/semanas para taller</t>
        </is>
      </c>
      <c r="AC100" s="16" t="inlineStr">
        <is>
          <t>Según productor</t>
        </is>
      </c>
      <c r="AD100" s="16" t="inlineStr">
        <is>
          <t>Según productor</t>
        </is>
      </c>
      <c r="AE100" s="16" t="inlineStr">
        <is>
          <t>JR/Keihan Uji</t>
        </is>
      </c>
      <c r="AF100" s="16" t="inlineStr">
        <is>
          <t>Buena en áreas principales; confirmar detalles con el recinto</t>
        </is>
      </c>
      <c r="AG100" s="90" t="n">
        <v>34.8908</v>
      </c>
      <c r="AH100" s="90" t="n">
        <v>135.806</v>
      </c>
      <c r="AI100" s="16" t="inlineStr">
        <is>
          <t>https://www.kyototourism.org/en/areas/uji/</t>
        </is>
      </c>
      <c r="AJ100" s="16" t="inlineStr">
        <is>
          <t>Cambiante</t>
        </is>
      </c>
      <c r="AK100" s="16" t="inlineStr">
        <is>
          <t>FOOD / CULTURE</t>
        </is>
      </c>
      <c r="AL100" s="16" t="inlineStr">
        <is>
          <t>pareja, comida, cultura</t>
        </is>
      </c>
      <c r="AM100" s="91" t="n">
        <v>4</v>
      </c>
      <c r="AN100" s="91" t="n">
        <v>5</v>
      </c>
      <c r="AO100" s="91" t="n">
        <v>5</v>
      </c>
      <c r="AP100" s="91" t="n">
        <v>2</v>
      </c>
      <c r="AQ100" s="16" t="inlineStr">
        <is>
          <t>Imagen ideal: la calidad depende del productor y la explicación, no solo de la estética. con luz de tarde, sin multitudes dominando el encuadre.</t>
        </is>
      </c>
      <c r="AR100" s="16" t="inlineStr">
        <is>
          <t>Byōdō-in (~3 min a pie) | Nintendo Museum (~25 min a pie)</t>
        </is>
      </c>
      <c r="AS100" s="16" t="inlineStr">
        <is>
          <t>Lugar conocido pero excelente</t>
        </is>
      </c>
      <c r="AT100" s="16" t="str"/>
      <c r="AU100" s="16" t="inlineStr">
        <is>
          <t>https://www.google.com/maps/search/?api=1&amp;query=Uji%20tea%20experience%2C%20Uji%2C%20Japan</t>
        </is>
      </c>
      <c r="AV100" s="16" t="inlineStr">
        <is>
          <t>2026-09-01</t>
        </is>
      </c>
      <c r="AW100" s="16" t="inlineStr">
        <is>
          <t>CALENDARIO / CONDICIÓN PENDIENTE</t>
        </is>
      </c>
      <c r="AX100" s="16" t="inlineStr">
        <is>
          <t>No hay cierre específico confirmado para la ventana, pero horarios o acceso pueden variar.</t>
        </is>
      </c>
      <c r="AY100" s="16" t="inlineStr">
        <is>
          <t>Reconfirmar en la web oficial al fijar fechas.</t>
        </is>
      </c>
    </row>
    <row r="101" ht="66" customHeight="1">
      <c r="A101" s="16" t="inlineStr">
        <is>
          <t>JP-100</t>
        </is>
      </c>
      <c r="B101" s="16" t="inlineStr">
        <is>
          <t>Kioto</t>
        </is>
      </c>
      <c r="C101" s="16" t="inlineStr">
        <is>
          <t>Kansai</t>
        </is>
      </c>
      <c r="D101" s="16" t="inlineStr">
        <is>
          <t>Kioto</t>
        </is>
      </c>
      <c r="E101" s="16" t="inlineStr">
        <is>
          <t>Kyoto</t>
        </is>
      </c>
      <c r="F101" s="16" t="inlineStr">
        <is>
          <t>Uzumasa</t>
        </is>
      </c>
      <c r="G101" s="16" t="inlineStr">
        <is>
          <t>Uzumasa</t>
        </is>
      </c>
      <c r="H101" s="16" t="inlineStr">
        <is>
          <t>Uzumasa Kyoto Village / Toei Kyoto Studio Park</t>
        </is>
      </c>
      <c r="I101" s="16" t="inlineStr">
        <is>
          <t>太秦映画村</t>
        </is>
      </c>
      <c r="J101" s="16" t="inlineStr">
        <is>
          <t>Uzumasa Kyoto Village</t>
        </is>
      </c>
      <c r="K101" s="16" t="inlineStr">
        <is>
          <t>🎭 Cultura tradicional</t>
        </is>
      </c>
      <c r="L101" s="16" t="inlineStr">
        <is>
          <t>parque de cine</t>
        </is>
      </c>
      <c r="M101" s="16" t="inlineStr">
        <is>
          <t>B</t>
        </is>
      </c>
      <c r="N101" s="16" t="inlineStr">
        <is>
          <t>La renovación 2026 ofrece una forma lúdica de entrar a escenografías de época. Clasificación v2: recomendable si encaja; su valor depende más de interés, saturación o logística.</t>
        </is>
      </c>
      <c r="O101" s="16" t="inlineStr">
        <is>
          <t>Sets de cine jidaigeki, espectáculos y nueva zona inmersiva para adultos.</t>
        </is>
      </c>
      <c r="P101" s="16" t="inlineStr">
        <is>
          <t>Es patrimonio audiovisual vivo, no un pueblo histórico auténtico.</t>
        </is>
      </c>
      <c r="Q101" s="16" t="inlineStr">
        <is>
          <t>Sets de cine jidaigeki, espectáculos y nueva zona inmersiva para adultos.</t>
        </is>
      </c>
      <c r="R101" s="16" t="inlineStr">
        <is>
          <t>Medio día</t>
        </is>
      </c>
      <c r="S101" s="16" t="inlineStr">
        <is>
          <t>Tarde</t>
        </is>
      </c>
      <c r="T101" s="16" t="inlineStr">
        <is>
          <t>Todo el año</t>
        </is>
      </c>
      <c r="U101" s="16" t="inlineStr">
        <is>
          <t>Alto</t>
        </is>
      </c>
      <c r="V101" s="16" t="inlineStr">
        <is>
          <t>Alto</t>
        </is>
      </c>
      <c r="W101" s="89" t="n">
        <v>2800</v>
      </c>
      <c r="X101" s="89" t="n">
        <v>3800</v>
      </c>
      <c r="Y101" s="89">
        <f>W101*'Configuración'!$B$4</f>
        <v/>
      </c>
      <c r="Z101" s="89">
        <f>X101*'Configuración'!$B$4</f>
        <v/>
      </c>
      <c r="AA101" s="16" t="inlineStr">
        <is>
          <t>Recomendable</t>
        </is>
      </c>
      <c r="AB101" s="16" t="inlineStr">
        <is>
          <t>Días/semanas</t>
        </is>
      </c>
      <c r="AC101" s="16" t="inlineStr">
        <is>
          <t>Horario variable</t>
        </is>
      </c>
      <c r="AD101" s="16" t="inlineStr">
        <is>
          <t>Cierres programados</t>
        </is>
      </c>
      <c r="AE101" s="16" t="inlineStr">
        <is>
          <t>JR Uzumasa / Randen Uzumasa-Koryuji</t>
        </is>
      </c>
      <c r="AF101" s="16" t="inlineStr">
        <is>
          <t>Buena en áreas principales; confirmar detalles con el recinto</t>
        </is>
      </c>
      <c r="AG101" s="90" t="n">
        <v>35.0164</v>
      </c>
      <c r="AH101" s="90" t="n">
        <v>135.7083</v>
      </c>
      <c r="AI101" s="16" t="inlineStr">
        <is>
          <t>https://global.toei-eigamura.com/</t>
        </is>
      </c>
      <c r="AJ101" s="16" t="inlineStr">
        <is>
          <t>Verificado</t>
        </is>
      </c>
      <c r="AK101" s="16" t="inlineStr">
        <is>
          <t>ENTERTAINMENT</t>
        </is>
      </c>
      <c r="AL101" s="16" t="inlineStr">
        <is>
          <t>cine, cultura, fotografía</t>
        </is>
      </c>
      <c r="AM101" s="91" t="n">
        <v>5</v>
      </c>
      <c r="AN101" s="91" t="n">
        <v>4</v>
      </c>
      <c r="AO101" s="91" t="n">
        <v>3</v>
      </c>
      <c r="AP101" s="91" t="n">
        <v>4</v>
      </c>
      <c r="AQ101" s="16" t="inlineStr">
        <is>
          <t>Imagen ideal: es patrimonio audiovisual vivo, no un pueblo histórico auténtico. con luz de tarde, sin multitudes dominando el encuadre.</t>
        </is>
      </c>
      <c r="AR101" s="16" t="inlineStr">
        <is>
          <t>Ryōan-ji (~31 min en transporte)</t>
        </is>
      </c>
      <c r="AS101" s="16" t="inlineStr">
        <is>
          <t>Popular / turístico</t>
        </is>
      </c>
      <c r="AT101" s="16" t="str"/>
      <c r="AU101" s="16" t="inlineStr">
        <is>
          <t>https://www.google.com/maps/search/?api=1&amp;query=Uzumasa%20Kyoto%20Village%20%2F%20Toei%20Kyoto%20Studio%20Park%2C%20Kyoto%2C%20Japan</t>
        </is>
      </c>
      <c r="AV101" s="16" t="inlineStr">
        <is>
          <t>2026-09-01</t>
        </is>
      </c>
      <c r="AW101" s="16" t="inlineStr">
        <is>
          <t>CALENDARIO / CONDICIÓN PENDIENTE</t>
        </is>
      </c>
      <c r="AX101" s="16" t="inlineStr">
        <is>
          <t>No hay cierre específico confirmado para la ventana, pero horarios o acceso pueden variar.</t>
        </is>
      </c>
      <c r="AY101" s="16" t="inlineStr">
        <is>
          <t>Reconfirmar en la web oficial al fijar fechas.</t>
        </is>
      </c>
    </row>
    <row r="102" ht="66" customHeight="1">
      <c r="A102" s="16" t="inlineStr">
        <is>
          <t>JP-101</t>
        </is>
      </c>
      <c r="B102" s="16" t="inlineStr">
        <is>
          <t>Kioto</t>
        </is>
      </c>
      <c r="C102" s="16" t="inlineStr">
        <is>
          <t>Kansai</t>
        </is>
      </c>
      <c r="D102" s="16" t="inlineStr">
        <is>
          <t>Kioto</t>
        </is>
      </c>
      <c r="E102" s="16" t="inlineStr">
        <is>
          <t>Kyoto</t>
        </is>
      </c>
      <c r="F102" s="16" t="inlineStr">
        <is>
          <t>Gion</t>
        </is>
      </c>
      <c r="G102" s="16" t="inlineStr">
        <is>
          <t>Kiyomizu–Gion</t>
        </is>
      </c>
      <c r="H102" s="16" t="inlineStr">
        <is>
          <t>Gion Corner</t>
        </is>
      </c>
      <c r="I102" s="16" t="inlineStr">
        <is>
          <t>ギオンコーナー</t>
        </is>
      </c>
      <c r="J102" s="16" t="inlineStr">
        <is>
          <t>Gion Corner</t>
        </is>
      </c>
      <c r="K102" s="16" t="inlineStr">
        <is>
          <t>🎭 Cultura tradicional</t>
        </is>
      </c>
      <c r="L102" s="16" t="inlineStr">
        <is>
          <t>espectáculo</t>
        </is>
      </c>
      <c r="M102" s="16" t="inlineStr">
        <is>
          <t>A</t>
        </is>
      </c>
      <c r="N102" s="16" t="inlineStr">
        <is>
          <t>Introducción eficiente a siete artes tradicionales; condensada y algo turística.</t>
        </is>
      </c>
      <c r="O102" s="16" t="inlineStr">
        <is>
          <t>Programa escénico con danza kyomai, teatro, música, té y arreglos florales.</t>
        </is>
      </c>
      <c r="P102" s="16" t="inlineStr">
        <is>
          <t>Permite comparar artes en una sola sesión, no sustituye una función completa.</t>
        </is>
      </c>
      <c r="Q102" s="16" t="inlineStr">
        <is>
          <t>Programa escénico con danza kyomai, teatro, música, té y arreglos florales.</t>
        </is>
      </c>
      <c r="R102" s="16" t="inlineStr">
        <is>
          <t>1–1.5 h</t>
        </is>
      </c>
      <c r="S102" s="16" t="inlineStr">
        <is>
          <t>Noche</t>
        </is>
      </c>
      <c r="T102" s="16" t="inlineStr">
        <is>
          <t>Temporada de funciones</t>
        </is>
      </c>
      <c r="U102" s="16" t="inlineStr">
        <is>
          <t>Alto</t>
        </is>
      </c>
      <c r="V102" s="16" t="inlineStr">
        <is>
          <t>Alto</t>
        </is>
      </c>
      <c r="W102" s="89" t="n">
        <v>5500</v>
      </c>
      <c r="X102" s="89" t="n">
        <v>6500</v>
      </c>
      <c r="Y102" s="89">
        <f>W102*'Configuración'!$B$4</f>
        <v/>
      </c>
      <c r="Z102" s="89">
        <f>X102*'Configuración'!$B$4</f>
        <v/>
      </c>
      <c r="AA102" s="16" t="inlineStr">
        <is>
          <t>Sí</t>
        </is>
      </c>
      <c r="AB102" s="16" t="inlineStr">
        <is>
          <t>Días/semanas</t>
        </is>
      </c>
      <c r="AC102" s="16" t="inlineStr">
        <is>
          <t>Funciones programadas</t>
        </is>
      </c>
      <c r="AD102" s="16" t="inlineStr">
        <is>
          <t>Días sin función</t>
        </is>
      </c>
      <c r="AE102" s="16" t="inlineStr">
        <is>
          <t>Gion-Shijo</t>
        </is>
      </c>
      <c r="AF102" s="16" t="inlineStr">
        <is>
          <t>Buena en áreas principales; confirmar detalles con el recinto</t>
        </is>
      </c>
      <c r="AG102" s="90" t="n">
        <v>35</v>
      </c>
      <c r="AH102" s="90" t="n">
        <v>135.7755</v>
      </c>
      <c r="AI102" s="16" t="inlineStr">
        <is>
          <t>https://www.kyoto-gioncorner.com/global/en.html</t>
        </is>
      </c>
      <c r="AJ102" s="16" t="inlineStr">
        <is>
          <t>Cambiante</t>
        </is>
      </c>
      <c r="AK102" s="16" t="inlineStr">
        <is>
          <t>CULTURE / NIGHT</t>
        </is>
      </c>
      <c r="AL102" s="16" t="inlineStr">
        <is>
          <t>pareja, cultura, teatro</t>
        </is>
      </c>
      <c r="AM102" s="91" t="n">
        <v>4</v>
      </c>
      <c r="AN102" s="91" t="n">
        <v>4</v>
      </c>
      <c r="AO102" s="91" t="n">
        <v>4</v>
      </c>
      <c r="AP102" s="91" t="n">
        <v>4</v>
      </c>
      <c r="AQ102" s="16" t="inlineStr">
        <is>
          <t>Imagen ideal: permite comparar artes en una sola sesión, no sustituye una función completa. con luz de noche, sin multitudes dominando el encuadre.</t>
        </is>
      </c>
      <c r="AR102" s="16" t="inlineStr">
        <is>
          <t>Kennin-ji (~3 min a pie) | Yasaka Kōshin-dō (~7 min a pie) | Kōdai-ji (~7 min a pie)</t>
        </is>
      </c>
      <c r="AS102" s="16" t="inlineStr">
        <is>
          <t>Popular / turístico</t>
        </is>
      </c>
      <c r="AT102" s="16" t="str"/>
      <c r="AU102" s="16" t="inlineStr">
        <is>
          <t>https://www.google.com/maps/search/?api=1&amp;query=Gion%20Corner%2C%20Kyoto%2C%20Japan</t>
        </is>
      </c>
      <c r="AV102" s="16" t="inlineStr">
        <is>
          <t>2026-09-01</t>
        </is>
      </c>
      <c r="AW102" s="16" t="inlineStr">
        <is>
          <t>CALENDARIO / CONDICIÓN PENDIENTE</t>
        </is>
      </c>
      <c r="AX102" s="16" t="inlineStr">
        <is>
          <t>No hay cierre específico confirmado para la ventana, pero horarios o acceso pueden variar.</t>
        </is>
      </c>
      <c r="AY102" s="16" t="inlineStr">
        <is>
          <t>Reconfirmar en la web oficial al fijar fechas.</t>
        </is>
      </c>
    </row>
    <row r="103" ht="66" customHeight="1">
      <c r="A103" s="16" t="inlineStr">
        <is>
          <t>JP-102</t>
        </is>
      </c>
      <c r="B103" s="16" t="inlineStr">
        <is>
          <t>Kioto</t>
        </is>
      </c>
      <c r="C103" s="16" t="inlineStr">
        <is>
          <t>Kansai</t>
        </is>
      </c>
      <c r="D103" s="16" t="inlineStr">
        <is>
          <t>Kioto</t>
        </is>
      </c>
      <c r="E103" s="16" t="inlineStr">
        <is>
          <t>Kyoto</t>
        </is>
      </c>
      <c r="F103" s="16" t="inlineStr">
        <is>
          <t>Sakyo</t>
        </is>
      </c>
      <c r="G103" s="16" t="inlineStr">
        <is>
          <t>Demachiyanagi</t>
        </is>
      </c>
      <c r="H103" s="16" t="inlineStr">
        <is>
          <t>Demachi Masugata Shopping Arcade</t>
        </is>
      </c>
      <c r="I103" s="16" t="inlineStr">
        <is>
          <t>出町桝形商店街</t>
        </is>
      </c>
      <c r="J103" s="16" t="inlineStr">
        <is>
          <t>Demachi Masugata Shopping Arcade</t>
        </is>
      </c>
      <c r="K103" s="16" t="inlineStr">
        <is>
          <t>🍜 Gastronomía</t>
        </is>
      </c>
      <c r="L103" s="16" t="inlineStr">
        <is>
          <t>mercado local</t>
        </is>
      </c>
      <c r="M103" s="16" t="inlineStr">
        <is>
          <t>A</t>
        </is>
      </c>
      <c r="N103" s="16" t="inlineStr">
        <is>
          <t>Mercado vecinal real y excelente alternativa a Nishiki para observar vida cotidiana.</t>
        </is>
      </c>
      <c r="O103" s="16" t="inlineStr">
        <is>
          <t>Galería cubierta de alimentos, tiendas familiares y cultura local.</t>
        </is>
      </c>
      <c r="P103" s="16" t="inlineStr">
        <is>
          <t>No está escenificada para el turismo y mantiene precios cotidianos.</t>
        </is>
      </c>
      <c r="Q103" s="16" t="inlineStr">
        <is>
          <t>Galería cubierta de alimentos, tiendas familiares y cultura local.</t>
        </is>
      </c>
      <c r="R103" s="16" t="inlineStr">
        <is>
          <t>45–90 min</t>
        </is>
      </c>
      <c r="S103" s="16" t="inlineStr">
        <is>
          <t>Mañana</t>
        </is>
      </c>
      <c r="T103" s="16" t="inlineStr">
        <is>
          <t>Días laborables/sábado</t>
        </is>
      </c>
      <c r="U103" s="16" t="inlineStr">
        <is>
          <t>Bajo</t>
        </is>
      </c>
      <c r="V103" s="16" t="inlineStr">
        <is>
          <t>Bajo</t>
        </is>
      </c>
      <c r="W103" s="89" t="n">
        <v>0</v>
      </c>
      <c r="X103" s="89" t="n">
        <v>2000</v>
      </c>
      <c r="Y103" s="89">
        <f>W103*'Configuración'!$B$4</f>
        <v/>
      </c>
      <c r="Z103" s="89">
        <f>X103*'Configuración'!$B$4</f>
        <v/>
      </c>
      <c r="AA103" s="16" t="inlineStr">
        <is>
          <t>No</t>
        </is>
      </c>
      <c r="AB103" s="16" t="inlineStr">
        <is>
          <t>—</t>
        </is>
      </c>
      <c r="AC103" s="16" t="inlineStr">
        <is>
          <t>Según comercio, diurno</t>
        </is>
      </c>
      <c r="AD103" s="16" t="inlineStr">
        <is>
          <t>Muchos domingos</t>
        </is>
      </c>
      <c r="AE103" s="16" t="inlineStr">
        <is>
          <t>Demachiyanagi</t>
        </is>
      </c>
      <c r="AF103" s="16" t="inlineStr">
        <is>
          <t>Buena en áreas principales; confirmar detalles con el recinto</t>
        </is>
      </c>
      <c r="AG103" s="90" t="n">
        <v>35.0302</v>
      </c>
      <c r="AH103" s="90" t="n">
        <v>135.7694</v>
      </c>
      <c r="AI103" s="16" t="inlineStr">
        <is>
          <t>https://kyoto.travel/en/</t>
        </is>
      </c>
      <c r="AJ103" s="16" t="inlineStr">
        <is>
          <t>Cambiante</t>
        </is>
      </c>
      <c r="AK103" s="16" t="inlineStr">
        <is>
          <t>HIDDEN GEM / FOOD</t>
        </is>
      </c>
      <c r="AL103" s="16" t="inlineStr">
        <is>
          <t>comida, cultura local, fotografía</t>
        </is>
      </c>
      <c r="AM103" s="91" t="n">
        <v>3</v>
      </c>
      <c r="AN103" s="91" t="n">
        <v>5</v>
      </c>
      <c r="AO103" s="91" t="n">
        <v>5</v>
      </c>
      <c r="AP103" s="91" t="n">
        <v>1</v>
      </c>
      <c r="AQ103" s="16" t="inlineStr">
        <is>
          <t>Imagen ideal: no está escenificada para el turismo y mantiene precios cotidianos. con luz de mañana, sin multitudes dominando el encuadre.</t>
        </is>
      </c>
      <c r="AR103" s="16" t="inlineStr">
        <is>
          <t>Kyoto Imperial Palace (~12 min a pie) | Kyoto International Manga Museum (~34 min en transporte)</t>
        </is>
      </c>
      <c r="AS103" s="16" t="inlineStr">
        <is>
          <t>Alternativa menos saturada</t>
        </is>
      </c>
      <c r="AT103" s="16" t="inlineStr">
        <is>
          <t>Nishiki Market</t>
        </is>
      </c>
      <c r="AU103" s="16" t="inlineStr">
        <is>
          <t>https://www.google.com/maps/search/?api=1&amp;query=Demachi%20Masugata%20Shopping%20Arcade%2C%20Kyoto%2C%20Japan</t>
        </is>
      </c>
      <c r="AV103" s="16" t="inlineStr">
        <is>
          <t>2026-09-01</t>
        </is>
      </c>
      <c r="AW103" s="16" t="inlineStr">
        <is>
          <t>CALENDARIO / CONDICIÓN PENDIENTE</t>
        </is>
      </c>
      <c r="AX103" s="16" t="inlineStr">
        <is>
          <t>No hay cierre específico confirmado para la ventana, pero horarios o acceso pueden variar.</t>
        </is>
      </c>
      <c r="AY103" s="16" t="inlineStr">
        <is>
          <t>Reconfirmar en la web oficial al fijar fechas.</t>
        </is>
      </c>
    </row>
    <row r="104" ht="66" customHeight="1">
      <c r="A104" s="16" t="inlineStr">
        <is>
          <t>JP-103</t>
        </is>
      </c>
      <c r="B104" s="16" t="inlineStr">
        <is>
          <t>Osaka</t>
        </is>
      </c>
      <c r="C104" s="16" t="inlineStr">
        <is>
          <t>Kansai</t>
        </is>
      </c>
      <c r="D104" s="16" t="inlineStr">
        <is>
          <t>Osaka</t>
        </is>
      </c>
      <c r="E104" s="16" t="inlineStr">
        <is>
          <t>Osaka</t>
        </is>
      </c>
      <c r="F104" s="16" t="inlineStr">
        <is>
          <t>Namba</t>
        </is>
      </c>
      <c r="G104" s="16" t="inlineStr">
        <is>
          <t>Namba–Dotonbori</t>
        </is>
      </c>
      <c r="H104" s="16" t="inlineStr">
        <is>
          <t>Dotonbori</t>
        </is>
      </c>
      <c r="I104" s="16" t="inlineStr">
        <is>
          <t>道頓堀</t>
        </is>
      </c>
      <c r="J104" s="16" t="inlineStr">
        <is>
          <t>Dotonbori</t>
        </is>
      </c>
      <c r="K104" s="16" t="inlineStr">
        <is>
          <t>🌃 Nocturno</t>
        </is>
      </c>
      <c r="L104" s="16" t="inlineStr">
        <is>
          <t>barrio/canal</t>
        </is>
      </c>
      <c r="M104" s="16" t="inlineStr">
        <is>
          <t>A</t>
        </is>
      </c>
      <c r="N104" s="16" t="inlineStr">
        <is>
          <t>Es el gran icono nocturno de Osaka y concentra su energía popular.</t>
        </is>
      </c>
      <c r="O104" s="16" t="inlineStr">
        <is>
          <t>Canal, neón, fachadas mecánicas y restaurantes de Minami.</t>
        </is>
      </c>
      <c r="P104" s="16" t="inlineStr">
        <is>
          <t>La densidad visual y gastronómica no se replica en otra ciudad japonesa.</t>
        </is>
      </c>
      <c r="Q104" s="16" t="inlineStr">
        <is>
          <t>Canal, neón, fachadas mecánicas y restaurantes de Minami.</t>
        </is>
      </c>
      <c r="R104" s="16" t="inlineStr">
        <is>
          <t>1.5–3 h</t>
        </is>
      </c>
      <c r="S104" s="16" t="inlineStr">
        <is>
          <t>Noche</t>
        </is>
      </c>
      <c r="T104" s="16" t="inlineStr">
        <is>
          <t>Todo el año</t>
        </is>
      </c>
      <c r="U104" s="16" t="inlineStr">
        <is>
          <t>Extremo</t>
        </is>
      </c>
      <c r="V104" s="16" t="inlineStr">
        <is>
          <t>Extremo</t>
        </is>
      </c>
      <c r="W104" s="89" t="n">
        <v>0</v>
      </c>
      <c r="X104" s="89" t="n">
        <v>0</v>
      </c>
      <c r="Y104" s="89">
        <f>W104*'Configuración'!$B$4</f>
        <v/>
      </c>
      <c r="Z104" s="89">
        <f>X104*'Configuración'!$B$4</f>
        <v/>
      </c>
      <c r="AA104" s="16" t="inlineStr">
        <is>
          <t>No</t>
        </is>
      </c>
      <c r="AB104" s="16" t="inlineStr">
        <is>
          <t>—</t>
        </is>
      </c>
      <c r="AC104" s="16" t="inlineStr">
        <is>
          <t>Espacio público 24 h</t>
        </is>
      </c>
      <c r="AD104" s="16" t="inlineStr">
        <is>
          <t>Sin cierre</t>
        </is>
      </c>
      <c r="AE104" s="16" t="inlineStr">
        <is>
          <t>Namba / Osaka-Namba / Nippombashi</t>
        </is>
      </c>
      <c r="AF104" s="16" t="inlineStr">
        <is>
          <t>Buena en áreas principales; confirmar detalles con el recinto</t>
        </is>
      </c>
      <c r="AG104" s="90" t="n">
        <v>34.6687</v>
      </c>
      <c r="AH104" s="90" t="n">
        <v>135.5013</v>
      </c>
      <c r="AI104" s="16" t="inlineStr">
        <is>
          <t>https://osaka-info.jp/en/</t>
        </is>
      </c>
      <c r="AJ104" s="16" t="inlineStr">
        <is>
          <t>Cambiante</t>
        </is>
      </c>
      <c r="AK104" s="16" t="inlineStr">
        <is>
          <t>MUST SEE / NIGHT</t>
        </is>
      </c>
      <c r="AL104" s="16" t="inlineStr">
        <is>
          <t>pareja, comida, fotografía, noche</t>
        </is>
      </c>
      <c r="AM104" s="91" t="n">
        <v>5</v>
      </c>
      <c r="AN104" s="91" t="n">
        <v>4</v>
      </c>
      <c r="AO104" s="91" t="n">
        <v>4</v>
      </c>
      <c r="AP104" s="91" t="n">
        <v>5</v>
      </c>
      <c r="AQ104" s="16" t="inlineStr">
        <is>
          <t>Imagen ideal: la densidad visual y gastronómica no se replica en otra ciudad japonesa. con luz de noche, sin multitudes dominando el encuadre.</t>
        </is>
      </c>
      <c r="AR104" s="16" t="inlineStr">
        <is>
          <t>Glico Running Man sign (~3 min a pie) | Hozenji Yokocho (~3 min a pie) | Kuromon Ichiba Market (~8 min a pie)</t>
        </is>
      </c>
      <c r="AS104" s="16" t="inlineStr">
        <is>
          <t>Popular / turístico</t>
        </is>
      </c>
      <c r="AT104" s="16" t="str"/>
      <c r="AU104" s="16" t="inlineStr">
        <is>
          <t>https://www.google.com/maps/search/?api=1&amp;query=Dotonbori%2C%20Osaka%2C%20Japan</t>
        </is>
      </c>
      <c r="AV104" s="16" t="inlineStr">
        <is>
          <t>2026-09-01</t>
        </is>
      </c>
      <c r="AW104" s="16" t="inlineStr">
        <is>
          <t>CALENDARIO / CONDICIÓN PENDIENTE</t>
        </is>
      </c>
      <c r="AX104" s="16" t="inlineStr">
        <is>
          <t>No hay cierre específico confirmado para la ventana, pero horarios o acceso pueden variar.</t>
        </is>
      </c>
      <c r="AY104" s="16" t="inlineStr">
        <is>
          <t>Reconfirmar en la web oficial al fijar fechas.</t>
        </is>
      </c>
    </row>
    <row r="105" ht="66" customHeight="1">
      <c r="A105" s="16" t="inlineStr">
        <is>
          <t>JP-104</t>
        </is>
      </c>
      <c r="B105" s="16" t="inlineStr">
        <is>
          <t>Osaka</t>
        </is>
      </c>
      <c r="C105" s="16" t="inlineStr">
        <is>
          <t>Kansai</t>
        </is>
      </c>
      <c r="D105" s="16" t="inlineStr">
        <is>
          <t>Osaka</t>
        </is>
      </c>
      <c r="E105" s="16" t="inlineStr">
        <is>
          <t>Osaka</t>
        </is>
      </c>
      <c r="F105" s="16" t="inlineStr">
        <is>
          <t>Namba</t>
        </is>
      </c>
      <c r="G105" s="16" t="inlineStr">
        <is>
          <t>Namba–Dotonbori</t>
        </is>
      </c>
      <c r="H105" s="16" t="inlineStr">
        <is>
          <t>Glico Running Man sign</t>
        </is>
      </c>
      <c r="I105" s="16" t="inlineStr">
        <is>
          <t>グリコサイン</t>
        </is>
      </c>
      <c r="J105" s="16" t="inlineStr">
        <is>
          <t>Glico Running Man sign</t>
        </is>
      </c>
      <c r="K105" s="16" t="inlineStr">
        <is>
          <t>📷 Fotografía</t>
        </is>
      </c>
      <c r="L105" s="16" t="inlineStr">
        <is>
          <t>punto fotográfico</t>
        </is>
      </c>
      <c r="M105" s="16" t="inlineStr">
        <is>
          <t>D</t>
        </is>
      </c>
      <c r="N105" s="16" t="inlineStr">
        <is>
          <t>Es solo una foto dentro de Dotonbori; no merece tratarse como destino independiente.</t>
        </is>
      </c>
      <c r="O105" s="16" t="inlineStr">
        <is>
          <t>Cartel luminoso sobre el canal en Ebisubashi.</t>
        </is>
      </c>
      <c r="P105" s="16" t="inlineStr">
        <is>
          <t>Su valor es simbólico y dura minutos.</t>
        </is>
      </c>
      <c r="Q105" s="16" t="inlineStr">
        <is>
          <t>Cartel luminoso sobre el canal en Ebisubashi.</t>
        </is>
      </c>
      <c r="R105" s="16" t="inlineStr">
        <is>
          <t>5–15 min</t>
        </is>
      </c>
      <c r="S105" s="16" t="inlineStr">
        <is>
          <t>Noche</t>
        </is>
      </c>
      <c r="T105" s="16" t="inlineStr">
        <is>
          <t>Todo el año</t>
        </is>
      </c>
      <c r="U105" s="16" t="inlineStr">
        <is>
          <t>Extremo</t>
        </is>
      </c>
      <c r="V105" s="16" t="inlineStr">
        <is>
          <t>Extremo</t>
        </is>
      </c>
      <c r="W105" s="89" t="n">
        <v>0</v>
      </c>
      <c r="X105" s="89" t="n">
        <v>0</v>
      </c>
      <c r="Y105" s="89">
        <f>W105*'Configuración'!$B$4</f>
        <v/>
      </c>
      <c r="Z105" s="89">
        <f>X105*'Configuración'!$B$4</f>
        <v/>
      </c>
      <c r="AA105" s="16" t="inlineStr">
        <is>
          <t>No</t>
        </is>
      </c>
      <c r="AB105" s="16" t="inlineStr">
        <is>
          <t>—</t>
        </is>
      </c>
      <c r="AC105" s="16" t="inlineStr">
        <is>
          <t>Visible 24 h</t>
        </is>
      </c>
      <c r="AD105" s="16" t="inlineStr">
        <is>
          <t>Sin cierre</t>
        </is>
      </c>
      <c r="AE105" s="16" t="inlineStr">
        <is>
          <t>Namba</t>
        </is>
      </c>
      <c r="AF105" s="16" t="inlineStr">
        <is>
          <t>Buena en áreas principales; confirmar detalles con el recinto</t>
        </is>
      </c>
      <c r="AG105" s="90" t="n">
        <v>34.6686</v>
      </c>
      <c r="AH105" s="90" t="n">
        <v>135.5006</v>
      </c>
      <c r="AI105" s="16" t="inlineStr">
        <is>
          <t>https://osaka-info.jp/en/</t>
        </is>
      </c>
      <c r="AJ105" s="16" t="inlineStr">
        <is>
          <t>Cambiante</t>
        </is>
      </c>
      <c r="AK105" s="16" t="inlineStr">
        <is>
          <t>PHOTO STOP</t>
        </is>
      </c>
      <c r="AL105" s="16" t="inlineStr">
        <is>
          <t>fotografía</t>
        </is>
      </c>
      <c r="AM105" s="91" t="n">
        <v>4</v>
      </c>
      <c r="AN105" s="91" t="n">
        <v>1</v>
      </c>
      <c r="AO105" s="91" t="n">
        <v>1</v>
      </c>
      <c r="AP105" s="91" t="n">
        <v>5</v>
      </c>
      <c r="AQ105" s="16" t="inlineStr">
        <is>
          <t>Imagen ideal: su valor es simbólico y dura minutos. con luz de noche, sin multitudes dominando el encuadre.</t>
        </is>
      </c>
      <c r="AR105" s="16" t="inlineStr">
        <is>
          <t>Dotonbori (~3 min a pie) | Hozenji Yokocho (~3 min a pie) | Kuromon Ichiba Market (~9 min a pie)</t>
        </is>
      </c>
      <c r="AS105" s="16" t="inlineStr">
        <is>
          <t>Popular / turístico</t>
        </is>
      </c>
      <c r="AT105" s="16" t="str"/>
      <c r="AU105" s="16" t="inlineStr">
        <is>
          <t>https://www.google.com/maps/search/?api=1&amp;query=Glico%20Running%20Man%20sign%2C%20Osaka%2C%20Japan</t>
        </is>
      </c>
      <c r="AV105" s="16" t="inlineStr">
        <is>
          <t>2026-09-01</t>
        </is>
      </c>
      <c r="AW105" s="16" t="inlineStr">
        <is>
          <t>CALENDARIO / CONDICIÓN PENDIENTE</t>
        </is>
      </c>
      <c r="AX105" s="16" t="inlineStr">
        <is>
          <t>No hay cierre específico confirmado para la ventana, pero horarios o acceso pueden variar.</t>
        </is>
      </c>
      <c r="AY105" s="16" t="inlineStr">
        <is>
          <t>Reconfirmar en la web oficial al fijar fechas.</t>
        </is>
      </c>
    </row>
    <row r="106" ht="66" customHeight="1">
      <c r="A106" s="16" t="inlineStr">
        <is>
          <t>JP-105</t>
        </is>
      </c>
      <c r="B106" s="16" t="inlineStr">
        <is>
          <t>Osaka</t>
        </is>
      </c>
      <c r="C106" s="16" t="inlineStr">
        <is>
          <t>Kansai</t>
        </is>
      </c>
      <c r="D106" s="16" t="inlineStr">
        <is>
          <t>Osaka</t>
        </is>
      </c>
      <c r="E106" s="16" t="inlineStr">
        <is>
          <t>Osaka</t>
        </is>
      </c>
      <c r="F106" s="16" t="inlineStr">
        <is>
          <t>Namba</t>
        </is>
      </c>
      <c r="G106" s="16" t="inlineStr">
        <is>
          <t>Namba–Dotonbori</t>
        </is>
      </c>
      <c r="H106" s="16" t="inlineStr">
        <is>
          <t>Hozenji Yokocho</t>
        </is>
      </c>
      <c r="I106" s="16" t="inlineStr">
        <is>
          <t>法善寺横丁</t>
        </is>
      </c>
      <c r="J106" s="16" t="inlineStr">
        <is>
          <t>Hozenji Yokocho</t>
        </is>
      </c>
      <c r="K106" s="16" t="inlineStr">
        <is>
          <t>🌃 Nocturno</t>
        </is>
      </c>
      <c r="L106" s="16" t="inlineStr">
        <is>
          <t>callejón histórico</t>
        </is>
      </c>
      <c r="M106" s="16" t="inlineStr">
        <is>
          <t>A</t>
        </is>
      </c>
      <c r="N106" s="16" t="inlineStr">
        <is>
          <t>A pocos metros del neón ofrece escala íntima, piedra mojada y gastronomía.</t>
        </is>
      </c>
      <c r="O106" s="16" t="inlineStr">
        <is>
          <t>Callejón de restaurantes alrededor de Hozenji y su estatua cubierta de musgo.</t>
        </is>
      </c>
      <c r="P106" s="16" t="inlineStr">
        <is>
          <t>El contraste con Dotonbori es inmediato y significativo.</t>
        </is>
      </c>
      <c r="Q106" s="16" t="inlineStr">
        <is>
          <t>Callejón de restaurantes alrededor de Hozenji y su estatua cubierta de musgo.</t>
        </is>
      </c>
      <c r="R106" s="16" t="inlineStr">
        <is>
          <t>45–90 min</t>
        </is>
      </c>
      <c r="S106" s="16" t="inlineStr">
        <is>
          <t>Noche</t>
        </is>
      </c>
      <c r="T106" s="16" t="inlineStr">
        <is>
          <t>Todo el año</t>
        </is>
      </c>
      <c r="U106" s="16" t="inlineStr">
        <is>
          <t>Alto</t>
        </is>
      </c>
      <c r="V106" s="16" t="inlineStr">
        <is>
          <t>Alto</t>
        </is>
      </c>
      <c r="W106" s="89" t="n">
        <v>0</v>
      </c>
      <c r="X106" s="89" t="n">
        <v>6000</v>
      </c>
      <c r="Y106" s="89">
        <f>W106*'Configuración'!$B$4</f>
        <v/>
      </c>
      <c r="Z106" s="89">
        <f>X106*'Configuración'!$B$4</f>
        <v/>
      </c>
      <c r="AA106" s="16" t="inlineStr">
        <is>
          <t>Recomendable</t>
        </is>
      </c>
      <c r="AB106" s="16" t="inlineStr">
        <is>
          <t>Para restaurante, días</t>
        </is>
      </c>
      <c r="AC106" s="16" t="inlineStr">
        <is>
          <t>Según local</t>
        </is>
      </c>
      <c r="AD106" s="16" t="inlineStr">
        <is>
          <t>Según local</t>
        </is>
      </c>
      <c r="AE106" s="16" t="inlineStr">
        <is>
          <t>Namba / Nippombashi</t>
        </is>
      </c>
      <c r="AF106" s="16" t="inlineStr">
        <is>
          <t>Buena en áreas principales; confirmar detalles con el recinto</t>
        </is>
      </c>
      <c r="AG106" s="90" t="n">
        <v>34.6674</v>
      </c>
      <c r="AH106" s="90" t="n">
        <v>135.5022</v>
      </c>
      <c r="AI106" s="16" t="inlineStr">
        <is>
          <t>https://osaka-info.jp/en/</t>
        </is>
      </c>
      <c r="AJ106" s="16" t="inlineStr">
        <is>
          <t>Cambiante</t>
        </is>
      </c>
      <c r="AK106" s="16" t="inlineStr">
        <is>
          <t>HIDDEN CORNER</t>
        </is>
      </c>
      <c r="AL106" s="16" t="inlineStr">
        <is>
          <t>pareja, comida, fotografía, noche</t>
        </is>
      </c>
      <c r="AM106" s="91" t="n">
        <v>5</v>
      </c>
      <c r="AN106" s="91" t="n">
        <v>4</v>
      </c>
      <c r="AO106" s="91" t="n">
        <v>5</v>
      </c>
      <c r="AP106" s="91" t="n">
        <v>4</v>
      </c>
      <c r="AQ106" s="16" t="inlineStr">
        <is>
          <t>Imagen ideal: el contraste con dotonbori es inmediato y significativo. con luz de noche, sin multitudes dominando el encuadre.</t>
        </is>
      </c>
      <c r="AR106" s="16" t="inlineStr">
        <is>
          <t>Dotonbori (~3 min a pie) | Glico Running Man sign (~3 min a pie) | Kuromon Ichiba Market (~6 min a pie)</t>
        </is>
      </c>
      <c r="AS106" s="16" t="inlineStr">
        <is>
          <t>Semi-hidden</t>
        </is>
      </c>
      <c r="AT106" s="16" t="str"/>
      <c r="AU106" s="16" t="inlineStr">
        <is>
          <t>https://www.google.com/maps/search/?api=1&amp;query=Hozenji%20Yokocho%2C%20Osaka%2C%20Japan</t>
        </is>
      </c>
      <c r="AV106" s="16" t="inlineStr">
        <is>
          <t>2026-09-01</t>
        </is>
      </c>
      <c r="AW106" s="16" t="inlineStr">
        <is>
          <t>CALENDARIO / CONDICIÓN PENDIENTE</t>
        </is>
      </c>
      <c r="AX106" s="16" t="inlineStr">
        <is>
          <t>No hay cierre específico confirmado para la ventana, pero horarios o acceso pueden variar.</t>
        </is>
      </c>
      <c r="AY106" s="16" t="inlineStr">
        <is>
          <t>Reconfirmar en la web oficial al fijar fechas.</t>
        </is>
      </c>
    </row>
    <row r="107" ht="66" customHeight="1">
      <c r="A107" s="16" t="inlineStr">
        <is>
          <t>JP-106</t>
        </is>
      </c>
      <c r="B107" s="16" t="inlineStr">
        <is>
          <t>Osaka</t>
        </is>
      </c>
      <c r="C107" s="16" t="inlineStr">
        <is>
          <t>Kansai</t>
        </is>
      </c>
      <c r="D107" s="16" t="inlineStr">
        <is>
          <t>Osaka</t>
        </is>
      </c>
      <c r="E107" s="16" t="inlineStr">
        <is>
          <t>Osaka</t>
        </is>
      </c>
      <c r="F107" s="16" t="inlineStr">
        <is>
          <t>Nippombashi</t>
        </is>
      </c>
      <c r="G107" s="16" t="inlineStr">
        <is>
          <t>Namba–Dotonbori</t>
        </is>
      </c>
      <c r="H107" s="16" t="inlineStr">
        <is>
          <t>Kuromon Ichiba Market</t>
        </is>
      </c>
      <c r="I107" s="16" t="inlineStr">
        <is>
          <t>黒門市場</t>
        </is>
      </c>
      <c r="J107" s="16" t="inlineStr">
        <is>
          <t>Kuromon Ichiba Market</t>
        </is>
      </c>
      <c r="K107" s="16" t="inlineStr">
        <is>
          <t>🍜 Gastronomía</t>
        </is>
      </c>
      <c r="L107" s="16" t="inlineStr">
        <is>
          <t>mercado</t>
        </is>
      </c>
      <c r="M107" s="16" t="inlineStr">
        <is>
          <t>D</t>
        </is>
      </c>
      <c r="N107" s="16" t="inlineStr">
        <is>
          <t>La orientación turística y precios altos hacen preferibles mercados vecinales o comercios concretos.</t>
        </is>
      </c>
      <c r="O107" s="16" t="inlineStr">
        <is>
          <t>Mercado cubierto de mariscos, wagyu, fruta y snacks.</t>
        </is>
      </c>
      <c r="P107" s="16" t="inlineStr">
        <is>
          <t>Es conveniente, pero cada vez menos representativo de compras locales.</t>
        </is>
      </c>
      <c r="Q107" s="16" t="inlineStr">
        <is>
          <t>Mercado cubierto de mariscos, wagyu, fruta y snacks.</t>
        </is>
      </c>
      <c r="R107" s="16" t="inlineStr">
        <is>
          <t>1–1.5 h</t>
        </is>
      </c>
      <c r="S107" s="16" t="inlineStr">
        <is>
          <t>Mañana</t>
        </is>
      </c>
      <c r="T107" s="16" t="inlineStr">
        <is>
          <t>Días laborables</t>
        </is>
      </c>
      <c r="U107" s="16" t="inlineStr">
        <is>
          <t>Extremo</t>
        </is>
      </c>
      <c r="V107" s="16" t="inlineStr">
        <is>
          <t>Extremo</t>
        </is>
      </c>
      <c r="W107" s="89" t="n">
        <v>1000</v>
      </c>
      <c r="X107" s="89" t="n">
        <v>8000</v>
      </c>
      <c r="Y107" s="89">
        <f>W107*'Configuración'!$B$4</f>
        <v/>
      </c>
      <c r="Z107" s="89">
        <f>X107*'Configuración'!$B$4</f>
        <v/>
      </c>
      <c r="AA107" s="16" t="inlineStr">
        <is>
          <t>No</t>
        </is>
      </c>
      <c r="AB107" s="16" t="inlineStr">
        <is>
          <t>—</t>
        </is>
      </c>
      <c r="AC107" s="16" t="inlineStr">
        <is>
          <t>Aprox. 09:00–18:00</t>
        </is>
      </c>
      <c r="AD107" s="16" t="inlineStr">
        <is>
          <t>Según puesto</t>
        </is>
      </c>
      <c r="AE107" s="16" t="inlineStr">
        <is>
          <t>Nippombashi</t>
        </is>
      </c>
      <c r="AF107" s="16" t="inlineStr">
        <is>
          <t>Buena en áreas principales; confirmar detalles con el recinto</t>
        </is>
      </c>
      <c r="AG107" s="90" t="n">
        <v>34.6654</v>
      </c>
      <c r="AH107" s="90" t="n">
        <v>135.5064</v>
      </c>
      <c r="AI107" s="16" t="inlineStr">
        <is>
          <t>https://kuromon.com/en/</t>
        </is>
      </c>
      <c r="AJ107" s="16" t="inlineStr">
        <is>
          <t>Cambiante</t>
        </is>
      </c>
      <c r="AK107" s="16" t="inlineStr">
        <is>
          <t>TOURISTY / SKIP</t>
        </is>
      </c>
      <c r="AL107" s="16" t="inlineStr">
        <is>
          <t>comida, fotografía</t>
        </is>
      </c>
      <c r="AM107" s="91" t="n">
        <v>3</v>
      </c>
      <c r="AN107" s="91" t="n">
        <v>2</v>
      </c>
      <c r="AO107" s="91" t="n">
        <v>2</v>
      </c>
      <c r="AP107" s="91" t="n">
        <v>5</v>
      </c>
      <c r="AQ107" s="16" t="inlineStr">
        <is>
          <t>Imagen ideal: es conveniente, pero cada vez menos representativo de compras locales. con luz de mañana, sin multitudes dominando el encuadre.</t>
        </is>
      </c>
      <c r="AR107" s="16" t="inlineStr">
        <is>
          <t>Hozenji Yokocho (~6 min a pie) | Dotonbori (~8 min a pie) | Glico Running Man sign (~9 min a pie)</t>
        </is>
      </c>
      <c r="AS107" s="16" t="inlineStr">
        <is>
          <t>Popular / turístico</t>
        </is>
      </c>
      <c r="AT107" s="16" t="str"/>
      <c r="AU107" s="16" t="inlineStr">
        <is>
          <t>https://www.google.com/maps/search/?api=1&amp;query=Kuromon%20Ichiba%20Market%2C%20Osaka%2C%20Japan</t>
        </is>
      </c>
      <c r="AV107" s="16" t="inlineStr">
        <is>
          <t>2026-09-01</t>
        </is>
      </c>
      <c r="AW107" s="16" t="inlineStr">
        <is>
          <t>CALENDARIO / CONDICIÓN PENDIENTE</t>
        </is>
      </c>
      <c r="AX107" s="16" t="inlineStr">
        <is>
          <t>No hay cierre específico confirmado para la ventana, pero horarios o acceso pueden variar.</t>
        </is>
      </c>
      <c r="AY107" s="16" t="inlineStr">
        <is>
          <t>Reconfirmar en la web oficial al fijar fechas.</t>
        </is>
      </c>
    </row>
    <row r="108" ht="66" customHeight="1">
      <c r="A108" s="16" t="inlineStr">
        <is>
          <t>JP-107</t>
        </is>
      </c>
      <c r="B108" s="16" t="inlineStr">
        <is>
          <t>Osaka</t>
        </is>
      </c>
      <c r="C108" s="16" t="inlineStr">
        <is>
          <t>Kansai</t>
        </is>
      </c>
      <c r="D108" s="16" t="inlineStr">
        <is>
          <t>Osaka</t>
        </is>
      </c>
      <c r="E108" s="16" t="inlineStr">
        <is>
          <t>Osaka</t>
        </is>
      </c>
      <c r="F108" s="16" t="inlineStr">
        <is>
          <t>Namba</t>
        </is>
      </c>
      <c r="G108" s="16" t="inlineStr">
        <is>
          <t>Namba–Dotonbori</t>
        </is>
      </c>
      <c r="H108" s="16" t="inlineStr">
        <is>
          <t>Namba Yasaka Shrine</t>
        </is>
      </c>
      <c r="I108" s="16" t="inlineStr">
        <is>
          <t>難波八阪神社</t>
        </is>
      </c>
      <c r="J108" s="16" t="inlineStr">
        <is>
          <t>Namba Yasaka Shrine</t>
        </is>
      </c>
      <c r="K108" s="16" t="inlineStr">
        <is>
          <t>⛩️ Templos y santuarios</t>
        </is>
      </c>
      <c r="L108" s="16" t="inlineStr">
        <is>
          <t>santuario</t>
        </is>
      </c>
      <c r="M108" s="16" t="inlineStr">
        <is>
          <t>B</t>
        </is>
      </c>
      <c r="N108" s="16" t="inlineStr">
        <is>
          <t>La cabeza de león es muy fotogénica, pero la visita es corta y ya no es secreta.</t>
        </is>
      </c>
      <c r="O108" s="16" t="inlineStr">
        <is>
          <t>Santuario local con enorme escenario en forma de cabeza de león.</t>
        </is>
      </c>
      <c r="P108" s="16" t="inlineStr">
        <is>
          <t>Arquitectura teatral distinta de los santuarios clásicos.</t>
        </is>
      </c>
      <c r="Q108" s="16" t="inlineStr">
        <is>
          <t>Santuario local con enorme escenario en forma de cabeza de león.</t>
        </is>
      </c>
      <c r="R108" s="16" t="inlineStr">
        <is>
          <t>20–40 min</t>
        </is>
      </c>
      <c r="S108" s="16" t="inlineStr">
        <is>
          <t>Mañana</t>
        </is>
      </c>
      <c r="T108" s="16" t="inlineStr">
        <is>
          <t>Todo el año</t>
        </is>
      </c>
      <c r="U108" s="16" t="inlineStr">
        <is>
          <t>Alto</t>
        </is>
      </c>
      <c r="V108" s="16" t="inlineStr">
        <is>
          <t>Alto</t>
        </is>
      </c>
      <c r="W108" s="89" t="n">
        <v>0</v>
      </c>
      <c r="X108" s="89" t="n">
        <v>0</v>
      </c>
      <c r="Y108" s="89">
        <f>W108*'Configuración'!$B$4</f>
        <v/>
      </c>
      <c r="Z108" s="89">
        <f>X108*'Configuración'!$B$4</f>
        <v/>
      </c>
      <c r="AA108" s="16" t="inlineStr">
        <is>
          <t>No</t>
        </is>
      </c>
      <c r="AB108" s="16" t="inlineStr">
        <is>
          <t>—</t>
        </is>
      </c>
      <c r="AC108" s="16" t="inlineStr">
        <is>
          <t>Diurno</t>
        </is>
      </c>
      <c r="AD108" s="16" t="inlineStr">
        <is>
          <t>Sin cierre ordinario</t>
        </is>
      </c>
      <c r="AE108" s="16" t="inlineStr">
        <is>
          <t>Namba / Daikokucho</t>
        </is>
      </c>
      <c r="AF108" s="16" t="inlineStr">
        <is>
          <t>Parcial; pueden existir escalones, grava o edificios sin elevador</t>
        </is>
      </c>
      <c r="AG108" s="90" t="n">
        <v>34.6617</v>
      </c>
      <c r="AH108" s="90" t="n">
        <v>135.496</v>
      </c>
      <c r="AI108" s="16" t="inlineStr">
        <is>
          <t>https://nambayasaka.jp/</t>
        </is>
      </c>
      <c r="AJ108" s="16" t="inlineStr">
        <is>
          <t>Cambiante</t>
        </is>
      </c>
      <c r="AK108" s="16" t="inlineStr">
        <is>
          <t>UNIQUE</t>
        </is>
      </c>
      <c r="AL108" s="16" t="inlineStr">
        <is>
          <t>fotografía, cultura</t>
        </is>
      </c>
      <c r="AM108" s="91" t="n">
        <v>5</v>
      </c>
      <c r="AN108" s="91" t="n">
        <v>4</v>
      </c>
      <c r="AO108" s="91" t="n">
        <v>4</v>
      </c>
      <c r="AP108" s="91" t="n">
        <v>4</v>
      </c>
      <c r="AQ108" s="16" t="inlineStr">
        <is>
          <t>Imagen ideal: arquitectura teatral distinta de los santuarios clásicos. con luz de mañana, sin multitudes dominando el encuadre.</t>
        </is>
      </c>
      <c r="AR108" s="16" t="inlineStr">
        <is>
          <t>Hozenji Yokocho (~12 min a pie) | Glico Running Man sign (~12 min a pie) | Dotonbori (~13 min a pie)</t>
        </is>
      </c>
      <c r="AS108" s="16" t="inlineStr">
        <is>
          <t>Semi-hidden</t>
        </is>
      </c>
      <c r="AT108" s="16" t="str"/>
      <c r="AU108" s="16" t="inlineStr">
        <is>
          <t>https://www.google.com/maps/search/?api=1&amp;query=Namba%20Yasaka%20Shrine%2C%20Osaka%2C%20Japan</t>
        </is>
      </c>
      <c r="AV108" s="16" t="inlineStr">
        <is>
          <t>2026-09-01</t>
        </is>
      </c>
      <c r="AW108" s="16" t="inlineStr">
        <is>
          <t>CALENDARIO / CONDICIÓN PENDIENTE</t>
        </is>
      </c>
      <c r="AX108" s="16" t="inlineStr">
        <is>
          <t>No hay cierre específico confirmado para la ventana, pero horarios o acceso pueden variar.</t>
        </is>
      </c>
      <c r="AY108" s="16" t="inlineStr">
        <is>
          <t>Reconfirmar en la web oficial al fijar fechas.</t>
        </is>
      </c>
    </row>
    <row r="109" ht="66" customHeight="1">
      <c r="A109" s="16" t="inlineStr">
        <is>
          <t>JP-108</t>
        </is>
      </c>
      <c r="B109" s="16" t="inlineStr">
        <is>
          <t>Osaka</t>
        </is>
      </c>
      <c r="C109" s="16" t="inlineStr">
        <is>
          <t>Kansai</t>
        </is>
      </c>
      <c r="D109" s="16" t="inlineStr">
        <is>
          <t>Osaka</t>
        </is>
      </c>
      <c r="E109" s="16" t="inlineStr">
        <is>
          <t>Osaka</t>
        </is>
      </c>
      <c r="F109" s="16" t="inlineStr">
        <is>
          <t>Nippombashi</t>
        </is>
      </c>
      <c r="G109" s="16" t="inlineStr">
        <is>
          <t>Den Den Town</t>
        </is>
      </c>
      <c r="H109" s="16" t="inlineStr">
        <is>
          <t>Den Den Town</t>
        </is>
      </c>
      <c r="I109" s="16" t="inlineStr">
        <is>
          <t>でんでんタウン</t>
        </is>
      </c>
      <c r="J109" s="16" t="inlineStr">
        <is>
          <t>Den Den Town</t>
        </is>
      </c>
      <c r="K109" s="16" t="inlineStr">
        <is>
          <t>🎮 Videojuegos</t>
        </is>
      </c>
      <c r="L109" s="16" t="inlineStr">
        <is>
          <t>barrio de cultura pop</t>
        </is>
      </c>
      <c r="M109" s="16" t="inlineStr">
        <is>
          <t>A</t>
        </is>
      </c>
      <c r="N109" s="16" t="inlineStr">
        <is>
          <t>Más compacto y menos abrumador que Akihabara, con buenas tiendas retro y hobby.</t>
        </is>
      </c>
      <c r="O109" s="16" t="inlineStr">
        <is>
          <t>Corredor de electrónica, videojuegos, figuras y maid cafés.</t>
        </is>
      </c>
      <c r="P109" s="16" t="inlineStr">
        <is>
          <t>Conecta de forma natural con Shinsekai y Namba.</t>
        </is>
      </c>
      <c r="Q109" s="16" t="inlineStr">
        <is>
          <t>Corredor de electrónica, videojuegos, figuras y maid cafés.</t>
        </is>
      </c>
      <c r="R109" s="16" t="inlineStr">
        <is>
          <t>2–4 h</t>
        </is>
      </c>
      <c r="S109" s="16" t="inlineStr">
        <is>
          <t>Tarde</t>
        </is>
      </c>
      <c r="T109" s="16" t="inlineStr">
        <is>
          <t>Todo el año</t>
        </is>
      </c>
      <c r="U109" s="16" t="inlineStr">
        <is>
          <t>Alto</t>
        </is>
      </c>
      <c r="V109" s="16" t="inlineStr">
        <is>
          <t>Alto</t>
        </is>
      </c>
      <c r="W109" s="89" t="n">
        <v>0</v>
      </c>
      <c r="X109" s="89" t="n">
        <v>0</v>
      </c>
      <c r="Y109" s="89">
        <f>W109*'Configuración'!$B$4</f>
        <v/>
      </c>
      <c r="Z109" s="89">
        <f>X109*'Configuración'!$B$4</f>
        <v/>
      </c>
      <c r="AA109" s="16" t="inlineStr">
        <is>
          <t>No</t>
        </is>
      </c>
      <c r="AB109" s="16" t="inlineStr">
        <is>
          <t>—</t>
        </is>
      </c>
      <c r="AC109" s="16" t="inlineStr">
        <is>
          <t>Tiendas aprox. 10:00–20:00</t>
        </is>
      </c>
      <c r="AD109" s="16" t="inlineStr">
        <is>
          <t>Según comercio</t>
        </is>
      </c>
      <c r="AE109" s="16" t="inlineStr">
        <is>
          <t>Ebisucho / Nippombashi</t>
        </is>
      </c>
      <c r="AF109" s="16" t="inlineStr">
        <is>
          <t>Buena en áreas principales; confirmar detalles con el recinto</t>
        </is>
      </c>
      <c r="AG109" s="90" t="n">
        <v>34.6564</v>
      </c>
      <c r="AH109" s="90" t="n">
        <v>135.5062</v>
      </c>
      <c r="AI109" s="16" t="inlineStr">
        <is>
          <t>https://osaka-info.jp/en/</t>
        </is>
      </c>
      <c r="AJ109" s="16" t="inlineStr">
        <is>
          <t>Cambiante</t>
        </is>
      </c>
      <c r="AK109" s="16" t="inlineStr">
        <is>
          <t>GAMING / ANIME</t>
        </is>
      </c>
      <c r="AL109" s="16" t="inlineStr">
        <is>
          <t>videojuegos, anime, compras</t>
        </is>
      </c>
      <c r="AM109" s="91" t="n">
        <v>4</v>
      </c>
      <c r="AN109" s="91" t="n">
        <v>4</v>
      </c>
      <c r="AO109" s="91" t="n">
        <v>5</v>
      </c>
      <c r="AP109" s="91" t="n">
        <v>4</v>
      </c>
      <c r="AQ109" s="16" t="inlineStr">
        <is>
          <t>Imagen ideal: conecta de forma natural con shinsekai y namba. con luz de tarde, sin multitudes dominando el encuadre.</t>
        </is>
      </c>
      <c r="AR109" s="16" t="inlineStr">
        <is>
          <t>Tsutenkaku (~6 min a pie) | Shinsekai (~6 min a pie) | Shitennō-ji (~13 min a pie)</t>
        </is>
      </c>
      <c r="AS109" s="16" t="inlineStr">
        <is>
          <t>Alternativa menos saturada</t>
        </is>
      </c>
      <c r="AT109" s="16" t="inlineStr">
        <is>
          <t>Akihabara</t>
        </is>
      </c>
      <c r="AU109" s="16" t="inlineStr">
        <is>
          <t>https://www.google.com/maps/search/?api=1&amp;query=Den%20Den%20Town%2C%20Osaka%2C%20Japan</t>
        </is>
      </c>
      <c r="AV109" s="16" t="inlineStr">
        <is>
          <t>2026-09-01</t>
        </is>
      </c>
      <c r="AW109" s="16" t="inlineStr">
        <is>
          <t>CALENDARIO / CONDICIÓN PENDIENTE</t>
        </is>
      </c>
      <c r="AX109" s="16" t="inlineStr">
        <is>
          <t>No hay cierre específico confirmado para la ventana, pero horarios o acceso pueden variar.</t>
        </is>
      </c>
      <c r="AY109" s="16" t="inlineStr">
        <is>
          <t>Reconfirmar en la web oficial al fijar fechas.</t>
        </is>
      </c>
    </row>
    <row r="110" ht="66" customHeight="1">
      <c r="A110" s="16" t="inlineStr">
        <is>
          <t>JP-109</t>
        </is>
      </c>
      <c r="B110" s="16" t="inlineStr">
        <is>
          <t>Osaka</t>
        </is>
      </c>
      <c r="C110" s="16" t="inlineStr">
        <is>
          <t>Kansai</t>
        </is>
      </c>
      <c r="D110" s="16" t="inlineStr">
        <is>
          <t>Osaka</t>
        </is>
      </c>
      <c r="E110" s="16" t="inlineStr">
        <is>
          <t>Osaka</t>
        </is>
      </c>
      <c r="F110" s="16" t="inlineStr">
        <is>
          <t>Shinsekai</t>
        </is>
      </c>
      <c r="G110" s="16" t="inlineStr">
        <is>
          <t>Shinsekai–Tennoji</t>
        </is>
      </c>
      <c r="H110" s="16" t="inlineStr">
        <is>
          <t>Shinsekai</t>
        </is>
      </c>
      <c r="I110" s="16" t="inlineStr">
        <is>
          <t>新世界</t>
        </is>
      </c>
      <c r="J110" s="16" t="inlineStr">
        <is>
          <t>Shinsekai</t>
        </is>
      </c>
      <c r="K110" s="16" t="inlineStr">
        <is>
          <t>🏙️ Ciudad y barrios</t>
        </is>
      </c>
      <c r="L110" s="16" t="inlineStr">
        <is>
          <t>barrio</t>
        </is>
      </c>
      <c r="M110" s="16" t="inlineStr">
        <is>
          <t>A</t>
        </is>
      </c>
      <c r="N110" s="16" t="inlineStr">
        <is>
          <t>Barrio visual y gastronómico que conserva una identidad popular distinta a Namba.</t>
        </is>
      </c>
      <c r="O110" s="16" t="inlineStr">
        <is>
          <t>Calles retro, kushikatsu, carteles y Tsutenkaku.</t>
        </is>
      </c>
      <c r="P110" s="16" t="inlineStr">
        <is>
          <t>La mezcla de nostalgia Showa y entretenimiento callejero es muy Osaka.</t>
        </is>
      </c>
      <c r="Q110" s="16" t="inlineStr">
        <is>
          <t>Calles retro, kushikatsu, carteles y Tsutenkaku.</t>
        </is>
      </c>
      <c r="R110" s="16" t="inlineStr">
        <is>
          <t>2–3 h</t>
        </is>
      </c>
      <c r="S110" s="16" t="inlineStr">
        <is>
          <t>Noche</t>
        </is>
      </c>
      <c r="T110" s="16" t="inlineStr">
        <is>
          <t>Todo el año</t>
        </is>
      </c>
      <c r="U110" s="16" t="inlineStr">
        <is>
          <t>Alto</t>
        </is>
      </c>
      <c r="V110" s="16" t="inlineStr">
        <is>
          <t>Alto</t>
        </is>
      </c>
      <c r="W110" s="89" t="n">
        <v>0</v>
      </c>
      <c r="X110" s="89" t="n">
        <v>0</v>
      </c>
      <c r="Y110" s="89">
        <f>W110*'Configuración'!$B$4</f>
        <v/>
      </c>
      <c r="Z110" s="89">
        <f>X110*'Configuración'!$B$4</f>
        <v/>
      </c>
      <c r="AA110" s="16" t="inlineStr">
        <is>
          <t>No</t>
        </is>
      </c>
      <c r="AB110" s="16" t="inlineStr">
        <is>
          <t>—</t>
        </is>
      </c>
      <c r="AC110" s="16" t="inlineStr">
        <is>
          <t>Espacio público; locales variables</t>
        </is>
      </c>
      <c r="AD110" s="16" t="inlineStr">
        <is>
          <t>Sin cierre</t>
        </is>
      </c>
      <c r="AE110" s="16" t="inlineStr">
        <is>
          <t>Ebisucho / Dobutsuen-mae</t>
        </is>
      </c>
      <c r="AF110" s="16" t="inlineStr">
        <is>
          <t>Buena en áreas principales; confirmar detalles con el recinto</t>
        </is>
      </c>
      <c r="AG110" s="90" t="n">
        <v>34.6525</v>
      </c>
      <c r="AH110" s="90" t="n">
        <v>135.5063</v>
      </c>
      <c r="AI110" s="16" t="inlineStr">
        <is>
          <t>https://osaka-info.jp/en/</t>
        </is>
      </c>
      <c r="AJ110" s="16" t="inlineStr">
        <is>
          <t>Cambiante</t>
        </is>
      </c>
      <c r="AK110" s="16" t="inlineStr">
        <is>
          <t>NIGHT / FOOD</t>
        </is>
      </c>
      <c r="AL110" s="16" t="inlineStr">
        <is>
          <t>comida, fotografía, noche</t>
        </is>
      </c>
      <c r="AM110" s="91" t="n">
        <v>5</v>
      </c>
      <c r="AN110" s="91" t="n">
        <v>4</v>
      </c>
      <c r="AO110" s="91" t="n">
        <v>5</v>
      </c>
      <c r="AP110" s="91" t="n">
        <v>4</v>
      </c>
      <c r="AQ110" s="16" t="inlineStr">
        <is>
          <t>Imagen ideal: la mezcla de nostalgia showa y entretenimiento callejero es muy osaka. con luz de noche, sin multitudes dominando el encuadre.</t>
        </is>
      </c>
      <c r="AR110" s="16" t="inlineStr">
        <is>
          <t>Tsutenkaku (~3 min a pie) | Den Den Town (~6 min a pie) | Shitennō-ji (~14 min a pie)</t>
        </is>
      </c>
      <c r="AS110" s="16" t="inlineStr">
        <is>
          <t>Popular / turístico</t>
        </is>
      </c>
      <c r="AT110" s="16" t="str"/>
      <c r="AU110" s="16" t="inlineStr">
        <is>
          <t>https://www.google.com/maps/search/?api=1&amp;query=Shinsekai%2C%20Osaka%2C%20Japan</t>
        </is>
      </c>
      <c r="AV110" s="16" t="inlineStr">
        <is>
          <t>2026-09-01</t>
        </is>
      </c>
      <c r="AW110" s="16" t="inlineStr">
        <is>
          <t>CALENDARIO / CONDICIÓN PENDIENTE</t>
        </is>
      </c>
      <c r="AX110" s="16" t="inlineStr">
        <is>
          <t>No hay cierre específico confirmado para la ventana, pero horarios o acceso pueden variar.</t>
        </is>
      </c>
      <c r="AY110" s="16" t="inlineStr">
        <is>
          <t>Reconfirmar en la web oficial al fijar fechas.</t>
        </is>
      </c>
    </row>
    <row r="111" ht="66" customHeight="1">
      <c r="A111" s="16" t="inlineStr">
        <is>
          <t>JP-110</t>
        </is>
      </c>
      <c r="B111" s="16" t="inlineStr">
        <is>
          <t>Osaka</t>
        </is>
      </c>
      <c r="C111" s="16" t="inlineStr">
        <is>
          <t>Kansai</t>
        </is>
      </c>
      <c r="D111" s="16" t="inlineStr">
        <is>
          <t>Osaka</t>
        </is>
      </c>
      <c r="E111" s="16" t="inlineStr">
        <is>
          <t>Osaka</t>
        </is>
      </c>
      <c r="F111" s="16" t="inlineStr">
        <is>
          <t>Shinsekai</t>
        </is>
      </c>
      <c r="G111" s="16" t="inlineStr">
        <is>
          <t>Shinsekai–Tennoji</t>
        </is>
      </c>
      <c r="H111" s="16" t="inlineStr">
        <is>
          <t>Tsutenkaku</t>
        </is>
      </c>
      <c r="I111" s="16" t="inlineStr">
        <is>
          <t>通天閣</t>
        </is>
      </c>
      <c r="J111" s="16" t="inlineStr">
        <is>
          <t>Tsutenkaku</t>
        </is>
      </c>
      <c r="K111" s="16" t="inlineStr">
        <is>
          <t>🌅 Miradores</t>
        </is>
      </c>
      <c r="L111" s="16" t="inlineStr">
        <is>
          <t>torre/mirador</t>
        </is>
      </c>
      <c r="M111" s="16" t="inlineStr">
        <is>
          <t>C</t>
        </is>
      </c>
      <c r="N111" s="16" t="inlineStr">
        <is>
          <t>Divertida por nostalgia, pero la vista es inferior a Umeda Sky o Abeno Harukas.</t>
        </is>
      </c>
      <c r="O111" s="16" t="inlineStr">
        <is>
          <t>Torre símbolo de Shinsekai con miradores y atracciones.</t>
        </is>
      </c>
      <c r="P111" s="16" t="inlineStr">
        <is>
          <t>Su valor está en la iconografía retro más que en la panorámica.</t>
        </is>
      </c>
      <c r="Q111" s="16" t="inlineStr">
        <is>
          <t>Torre símbolo de Shinsekai con miradores y atracciones.</t>
        </is>
      </c>
      <c r="R111" s="16" t="inlineStr">
        <is>
          <t>1–1.5 h</t>
        </is>
      </c>
      <c r="S111" s="16" t="inlineStr">
        <is>
          <t>Noche</t>
        </is>
      </c>
      <c r="T111" s="16" t="inlineStr">
        <is>
          <t>Todo el año</t>
        </is>
      </c>
      <c r="U111" s="16" t="inlineStr">
        <is>
          <t>Alto</t>
        </is>
      </c>
      <c r="V111" s="16" t="inlineStr">
        <is>
          <t>Alto</t>
        </is>
      </c>
      <c r="W111" s="89" t="n">
        <v>1200</v>
      </c>
      <c r="X111" s="89" t="n">
        <v>3000</v>
      </c>
      <c r="Y111" s="89">
        <f>W111*'Configuración'!$B$4</f>
        <v/>
      </c>
      <c r="Z111" s="89">
        <f>X111*'Configuración'!$B$4</f>
        <v/>
      </c>
      <c r="AA111" s="16" t="inlineStr">
        <is>
          <t>Recomendable</t>
        </is>
      </c>
      <c r="AB111" s="16" t="inlineStr">
        <is>
          <t>Días para atracciones</t>
        </is>
      </c>
      <c r="AC111" s="16" t="inlineStr">
        <is>
          <t>Variable</t>
        </is>
      </c>
      <c r="AD111" s="16" t="inlineStr">
        <is>
          <t>Sin cierre ordinario</t>
        </is>
      </c>
      <c r="AE111" s="16" t="inlineStr">
        <is>
          <t>Ebisucho</t>
        </is>
      </c>
      <c r="AF111" s="16" t="inlineStr">
        <is>
          <t>Buena en áreas principales; confirmar detalles con el recinto</t>
        </is>
      </c>
      <c r="AG111" s="90" t="n">
        <v>34.6525</v>
      </c>
      <c r="AH111" s="90" t="n">
        <v>135.5062</v>
      </c>
      <c r="AI111" s="16" t="inlineStr">
        <is>
          <t>https://www.tsutenkaku.co.jp/Guide-pdf/mishiran-guide-english.pdf</t>
        </is>
      </c>
      <c r="AJ111" s="16" t="inlineStr">
        <is>
          <t>Cambiante</t>
        </is>
      </c>
      <c r="AK111" s="16" t="inlineStr">
        <is>
          <t>OPTIONAL VIEW</t>
        </is>
      </c>
      <c r="AL111" s="16" t="inlineStr">
        <is>
          <t>fotografía, nostalgia</t>
        </is>
      </c>
      <c r="AM111" s="91" t="n">
        <v>4</v>
      </c>
      <c r="AN111" s="91" t="n">
        <v>3</v>
      </c>
      <c r="AO111" s="91" t="n">
        <v>2</v>
      </c>
      <c r="AP111" s="91" t="n">
        <v>4</v>
      </c>
      <c r="AQ111" s="16" t="inlineStr">
        <is>
          <t>Imagen ideal: su valor está en la iconografía retro más que en la panorámica. con luz de noche, sin multitudes dominando el encuadre.</t>
        </is>
      </c>
      <c r="AR111" s="16" t="inlineStr">
        <is>
          <t>Shinsekai (~3 min a pie) | Den Den Town (~6 min a pie) | Shitennō-ji (~14 min a pie)</t>
        </is>
      </c>
      <c r="AS111" s="16" t="inlineStr">
        <is>
          <t>Popular / turístico</t>
        </is>
      </c>
      <c r="AT111" s="16" t="str"/>
      <c r="AU111" s="16" t="inlineStr">
        <is>
          <t>https://www.google.com/maps/search/?api=1&amp;query=Tsutenkaku%2C%20Osaka%2C%20Japan</t>
        </is>
      </c>
      <c r="AV111" s="16" t="inlineStr">
        <is>
          <t>2026-09-01</t>
        </is>
      </c>
      <c r="AW111" s="16" t="inlineStr">
        <is>
          <t>CALENDARIO / CONDICIÓN PENDIENTE</t>
        </is>
      </c>
      <c r="AX111" s="16" t="inlineStr">
        <is>
          <t>No hay cierre específico confirmado para la ventana, pero horarios o acceso pueden variar.</t>
        </is>
      </c>
      <c r="AY111" s="16" t="inlineStr">
        <is>
          <t>Reconfirmar en la web oficial al fijar fechas.</t>
        </is>
      </c>
    </row>
    <row r="112" ht="66" customHeight="1">
      <c r="A112" s="16" t="inlineStr">
        <is>
          <t>JP-111</t>
        </is>
      </c>
      <c r="B112" s="16" t="inlineStr">
        <is>
          <t>Osaka</t>
        </is>
      </c>
      <c r="C112" s="16" t="inlineStr">
        <is>
          <t>Kansai</t>
        </is>
      </c>
      <c r="D112" s="16" t="inlineStr">
        <is>
          <t>Osaka</t>
        </is>
      </c>
      <c r="E112" s="16" t="inlineStr">
        <is>
          <t>Osaka</t>
        </is>
      </c>
      <c r="F112" s="16" t="inlineStr">
        <is>
          <t>Tennoji</t>
        </is>
      </c>
      <c r="G112" s="16" t="inlineStr">
        <is>
          <t>Shinsekai–Tennoji</t>
        </is>
      </c>
      <c r="H112" s="16" t="inlineStr">
        <is>
          <t>Abeno Harukas 300</t>
        </is>
      </c>
      <c r="I112" s="16" t="inlineStr">
        <is>
          <t>あべのハルカス300</t>
        </is>
      </c>
      <c r="J112" s="16" t="inlineStr">
        <is>
          <t>Abeno Harukas 300</t>
        </is>
      </c>
      <c r="K112" s="16" t="inlineStr">
        <is>
          <t>🌅 Miradores</t>
        </is>
      </c>
      <c r="L112" s="16" t="inlineStr">
        <is>
          <t>mirador</t>
        </is>
      </c>
      <c r="M112" s="16" t="inlineStr">
        <is>
          <t>A</t>
        </is>
      </c>
      <c r="N112" s="16" t="inlineStr">
        <is>
          <t>La vista más alta y extensa de Osaka, especialmente clara de noche.</t>
        </is>
      </c>
      <c r="O112" s="16" t="inlineStr">
        <is>
          <t>Observatorio de tres niveles en el rascacielos Harukas.</t>
        </is>
      </c>
      <c r="P112" s="16" t="inlineStr">
        <is>
          <t>Panorama de 360° y buena lectura de la llanura de Kansai.</t>
        </is>
      </c>
      <c r="Q112" s="16" t="inlineStr">
        <is>
          <t>Observatorio de tres niveles en el rascacielos Harukas.</t>
        </is>
      </c>
      <c r="R112" s="16" t="inlineStr">
        <is>
          <t>1–2 h</t>
        </is>
      </c>
      <c r="S112" s="16" t="inlineStr">
        <is>
          <t>Atardecer</t>
        </is>
      </c>
      <c r="T112" s="16" t="inlineStr">
        <is>
          <t>Invierno</t>
        </is>
      </c>
      <c r="U112" s="16" t="inlineStr">
        <is>
          <t>Alto</t>
        </is>
      </c>
      <c r="V112" s="16" t="inlineStr">
        <is>
          <t>Alto</t>
        </is>
      </c>
      <c r="W112" s="89" t="n">
        <v>2000</v>
      </c>
      <c r="X112" s="89" t="n">
        <v>2000</v>
      </c>
      <c r="Y112" s="89">
        <f>W112*'Configuración'!$B$4</f>
        <v/>
      </c>
      <c r="Z112" s="89">
        <f>X112*'Configuración'!$B$4</f>
        <v/>
      </c>
      <c r="AA112" s="16" t="inlineStr">
        <is>
          <t>Recomendable</t>
        </is>
      </c>
      <c r="AB112" s="16" t="inlineStr">
        <is>
          <t>Días</t>
        </is>
      </c>
      <c r="AC112" s="16" t="inlineStr">
        <is>
          <t>09:00–22:00 aprox.</t>
        </is>
      </c>
      <c r="AD112" s="16" t="inlineStr">
        <is>
          <t>Sin cierre ordinario</t>
        </is>
      </c>
      <c r="AE112" s="16" t="inlineStr">
        <is>
          <t>Tennoji / Osaka-Abenobashi</t>
        </is>
      </c>
      <c r="AF112" s="16" t="inlineStr">
        <is>
          <t>Buena en áreas principales; confirmar detalles con el recinto</t>
        </is>
      </c>
      <c r="AG112" s="90" t="n">
        <v>34.6461</v>
      </c>
      <c r="AH112" s="90" t="n">
        <v>135.5137</v>
      </c>
      <c r="AI112" s="16" t="inlineStr">
        <is>
          <t>https://www.abenoharukas-300.jp/en/</t>
        </is>
      </c>
      <c r="AJ112" s="16" t="inlineStr">
        <is>
          <t>Cambiante</t>
        </is>
      </c>
      <c r="AK112" s="16" t="inlineStr">
        <is>
          <t>VIEW</t>
        </is>
      </c>
      <c r="AL112" s="16" t="inlineStr">
        <is>
          <t>pareja, fotografía, noche</t>
        </is>
      </c>
      <c r="AM112" s="91" t="n">
        <v>5</v>
      </c>
      <c r="AN112" s="91" t="n">
        <v>4</v>
      </c>
      <c r="AO112" s="91" t="n">
        <v>4</v>
      </c>
      <c r="AP112" s="91" t="n">
        <v>4</v>
      </c>
      <c r="AQ112" s="16" t="inlineStr">
        <is>
          <t>Imagen ideal: panorama de 360° y buena lectura de la llanura de kansai. con luz de atardecer, sin multitudes dominando el encuadre.</t>
        </is>
      </c>
      <c r="AR112" s="16" t="inlineStr">
        <is>
          <t>Shinsekai (~14 min a pie) | Tsutenkaku (~14 min a pie) | Shitennō-ji (~14 min a pie)</t>
        </is>
      </c>
      <c r="AS112" s="16" t="inlineStr">
        <is>
          <t>Popular / turístico</t>
        </is>
      </c>
      <c r="AT112" s="16" t="str"/>
      <c r="AU112" s="16" t="inlineStr">
        <is>
          <t>https://www.google.com/maps/search/?api=1&amp;query=Abeno%20Harukas%20300%2C%20Osaka%2C%20Japan</t>
        </is>
      </c>
      <c r="AV112" s="16" t="inlineStr">
        <is>
          <t>2026-09-01</t>
        </is>
      </c>
      <c r="AW112" s="16" t="inlineStr">
        <is>
          <t>CALENDARIO / CONDICIÓN PENDIENTE</t>
        </is>
      </c>
      <c r="AX112" s="16" t="inlineStr">
        <is>
          <t>No hay cierre específico confirmado para la ventana, pero horarios o acceso pueden variar.</t>
        </is>
      </c>
      <c r="AY112" s="16" t="inlineStr">
        <is>
          <t>Reconfirmar en la web oficial al fijar fechas.</t>
        </is>
      </c>
    </row>
    <row r="113" ht="66" customHeight="1">
      <c r="A113" s="16" t="inlineStr">
        <is>
          <t>JP-112</t>
        </is>
      </c>
      <c r="B113" s="16" t="inlineStr">
        <is>
          <t>Osaka</t>
        </is>
      </c>
      <c r="C113" s="16" t="inlineStr">
        <is>
          <t>Kansai</t>
        </is>
      </c>
      <c r="D113" s="16" t="inlineStr">
        <is>
          <t>Osaka</t>
        </is>
      </c>
      <c r="E113" s="16" t="inlineStr">
        <is>
          <t>Osaka</t>
        </is>
      </c>
      <c r="F113" s="16" t="inlineStr">
        <is>
          <t>Umeda</t>
        </is>
      </c>
      <c r="G113" s="16" t="inlineStr">
        <is>
          <t>Umeda</t>
        </is>
      </c>
      <c r="H113" s="16" t="inlineStr">
        <is>
          <t>Umeda Sky Building</t>
        </is>
      </c>
      <c r="I113" s="16" t="inlineStr">
        <is>
          <t>梅田スカイビル</t>
        </is>
      </c>
      <c r="J113" s="16" t="inlineStr">
        <is>
          <t>Umeda Sky Building</t>
        </is>
      </c>
      <c r="K113" s="16" t="inlineStr">
        <is>
          <t>🌅 Miradores</t>
        </is>
      </c>
      <c r="L113" s="16" t="inlineStr">
        <is>
          <t>mirador/arquitectura</t>
        </is>
      </c>
      <c r="M113" s="16" t="inlineStr">
        <is>
          <t>A</t>
        </is>
      </c>
      <c r="N113" s="16" t="inlineStr">
        <is>
          <t>La arquitectura y el recorrido exterior hacen la experiencia más memorable que una simple altura. Clasificación v2: excelente y muy recomendable, pero no justifica por sí sola adaptar la ruta.</t>
        </is>
      </c>
      <c r="O113" s="16" t="inlineStr">
        <is>
          <t>Dos torres unidas por el Floating Garden Observatory.</t>
        </is>
      </c>
      <c r="P113" s="16" t="inlineStr">
        <is>
          <t>Escaleras mecánicas suspendidas y cubierta circular al aire libre.</t>
        </is>
      </c>
      <c r="Q113" s="16" t="inlineStr">
        <is>
          <t>Dos torres unidas por el Floating Garden Observatory.</t>
        </is>
      </c>
      <c r="R113" s="16" t="inlineStr">
        <is>
          <t>1.5–2 h</t>
        </is>
      </c>
      <c r="S113" s="16" t="inlineStr">
        <is>
          <t>Atardecer</t>
        </is>
      </c>
      <c r="T113" s="16" t="inlineStr">
        <is>
          <t>Todo el año</t>
        </is>
      </c>
      <c r="U113" s="16" t="inlineStr">
        <is>
          <t>Extremo</t>
        </is>
      </c>
      <c r="V113" s="16" t="inlineStr">
        <is>
          <t>Extremo</t>
        </is>
      </c>
      <c r="W113" s="89" t="n">
        <v>2000</v>
      </c>
      <c r="X113" s="89" t="n">
        <v>2000</v>
      </c>
      <c r="Y113" s="89">
        <f>W113*'Configuración'!$B$4</f>
        <v/>
      </c>
      <c r="Z113" s="89">
        <f>X113*'Configuración'!$B$4</f>
        <v/>
      </c>
      <c r="AA113" s="16" t="inlineStr">
        <is>
          <t>Sí</t>
        </is>
      </c>
      <c r="AB113" s="16" t="inlineStr">
        <is>
          <t>1–2 semanas para atardecer</t>
        </is>
      </c>
      <c r="AC113" s="16" t="inlineStr">
        <is>
          <t>09:30–22:30 aprox.</t>
        </is>
      </c>
      <c r="AD113" s="16" t="inlineStr">
        <is>
          <t>Clima/mantenimiento</t>
        </is>
      </c>
      <c r="AE113" s="16" t="inlineStr">
        <is>
          <t>JR Osaka/Umeda + 10–15 min</t>
        </is>
      </c>
      <c r="AF113" s="16" t="inlineStr">
        <is>
          <t>Buena en áreas principales; confirmar detalles con el recinto</t>
        </is>
      </c>
      <c r="AG113" s="90" t="n">
        <v>34.7053</v>
      </c>
      <c r="AH113" s="90" t="n">
        <v>135.49</v>
      </c>
      <c r="AI113" s="16" t="inlineStr">
        <is>
          <t>https://www.skybldg.co.jp/en/</t>
        </is>
      </c>
      <c r="AJ113" s="16" t="inlineStr">
        <is>
          <t>Cambiante</t>
        </is>
      </c>
      <c r="AK113" s="16" t="inlineStr">
        <is>
          <t>MUST SEE / VIEW</t>
        </is>
      </c>
      <c r="AL113" s="16" t="inlineStr">
        <is>
          <t>pareja, arquitectura, fotografía</t>
        </is>
      </c>
      <c r="AM113" s="91" t="n">
        <v>5</v>
      </c>
      <c r="AN113" s="91" t="n">
        <v>5</v>
      </c>
      <c r="AO113" s="91" t="n">
        <v>4</v>
      </c>
      <c r="AP113" s="91" t="n">
        <v>5</v>
      </c>
      <c r="AQ113" s="16" t="inlineStr">
        <is>
          <t>Imagen ideal: escaleras mecánicas suspendidas y cubierta circular al aire libre. con luz de atardecer, sin multitudes dominando el encuadre.</t>
        </is>
      </c>
      <c r="AR113" s="16" t="inlineStr">
        <is>
          <t>Grand Green Osaka (~5 min a pie) | Nakanoshima Museum of Art (~21 min a pie) | Osaka Museum of Housing and Living (~28 min en transporte)</t>
        </is>
      </c>
      <c r="AS113" s="16" t="inlineStr">
        <is>
          <t>Popular / turístico</t>
        </is>
      </c>
      <c r="AT113" s="16" t="str"/>
      <c r="AU113" s="16" t="inlineStr">
        <is>
          <t>https://www.google.com/maps/search/?api=1&amp;query=Umeda%20Sky%20Building%2C%20Osaka%2C%20Japan</t>
        </is>
      </c>
      <c r="AV113" s="16" t="inlineStr">
        <is>
          <t>2026-09-01</t>
        </is>
      </c>
      <c r="AW113" s="16" t="inlineStr">
        <is>
          <t>CALENDARIO / CONDICIÓN PENDIENTE</t>
        </is>
      </c>
      <c r="AX113" s="16" t="inlineStr">
        <is>
          <t>No hay cierre específico confirmado para la ventana, pero horarios o acceso pueden variar.</t>
        </is>
      </c>
      <c r="AY113" s="16" t="inlineStr">
        <is>
          <t>Reconfirmar en la web oficial al fijar fechas.</t>
        </is>
      </c>
    </row>
    <row r="114" ht="66" customHeight="1">
      <c r="A114" s="16" t="inlineStr">
        <is>
          <t>JP-113</t>
        </is>
      </c>
      <c r="B114" s="16" t="inlineStr">
        <is>
          <t>Osaka</t>
        </is>
      </c>
      <c r="C114" s="16" t="inlineStr">
        <is>
          <t>Kansai</t>
        </is>
      </c>
      <c r="D114" s="16" t="inlineStr">
        <is>
          <t>Osaka</t>
        </is>
      </c>
      <c r="E114" s="16" t="inlineStr">
        <is>
          <t>Osaka</t>
        </is>
      </c>
      <c r="F114" s="16" t="inlineStr">
        <is>
          <t>Umeda</t>
        </is>
      </c>
      <c r="G114" s="16" t="inlineStr">
        <is>
          <t>Umeda</t>
        </is>
      </c>
      <c r="H114" s="16" t="inlineStr">
        <is>
          <t>Grand Green Osaka</t>
        </is>
      </c>
      <c r="I114" s="16" t="inlineStr">
        <is>
          <t>グラングリーン大阪</t>
        </is>
      </c>
      <c r="J114" s="16" t="inlineStr">
        <is>
          <t>Grand Green Osaka</t>
        </is>
      </c>
      <c r="K114" s="16" t="inlineStr">
        <is>
          <t>🏙️ Ciudad y barrios</t>
        </is>
      </c>
      <c r="L114" s="16" t="inlineStr">
        <is>
          <t>parque urbano/desarrollo</t>
        </is>
      </c>
      <c r="M114" s="16" t="inlineStr">
        <is>
          <t>A</t>
        </is>
      </c>
      <c r="N114" s="16" t="inlineStr">
        <is>
          <t>Nuevo gran espacio público que cambia la experiencia de Umeda.</t>
        </is>
      </c>
      <c r="O114" s="16" t="inlineStr">
        <is>
          <t>Parques, arquitectura, comercio y eventos junto a Osaka Station.</t>
        </is>
      </c>
      <c r="P114" s="16" t="inlineStr">
        <is>
          <t>Introduce paisaje amplio en el nodo ferroviario más denso de la ciudad.</t>
        </is>
      </c>
      <c r="Q114" s="16" t="inlineStr">
        <is>
          <t>Parques, arquitectura, comercio y eventos junto a Osaka Station.</t>
        </is>
      </c>
      <c r="R114" s="16" t="inlineStr">
        <is>
          <t>1–2 h</t>
        </is>
      </c>
      <c r="S114" s="16" t="inlineStr">
        <is>
          <t>Atardecer</t>
        </is>
      </c>
      <c r="T114" s="16" t="inlineStr">
        <is>
          <t>Primavera y otoño</t>
        </is>
      </c>
      <c r="U114" s="16" t="inlineStr">
        <is>
          <t>Alto</t>
        </is>
      </c>
      <c r="V114" s="16" t="inlineStr">
        <is>
          <t>Medio</t>
        </is>
      </c>
      <c r="W114" s="89" t="n">
        <v>0</v>
      </c>
      <c r="X114" s="89" t="n">
        <v>0</v>
      </c>
      <c r="Y114" s="89">
        <f>W114*'Configuración'!$B$4</f>
        <v/>
      </c>
      <c r="Z114" s="89">
        <f>X114*'Configuración'!$B$4</f>
        <v/>
      </c>
      <c r="AA114" s="16" t="inlineStr">
        <is>
          <t>No</t>
        </is>
      </c>
      <c r="AB114" s="16" t="inlineStr">
        <is>
          <t>—</t>
        </is>
      </c>
      <c r="AC114" s="16" t="inlineStr">
        <is>
          <t>Parque público; instalaciones variables</t>
        </is>
      </c>
      <c r="AD114" s="16" t="inlineStr">
        <is>
          <t>Sin cierre general</t>
        </is>
      </c>
      <c r="AE114" s="16" t="inlineStr">
        <is>
          <t>JR Osaka / Umeda</t>
        </is>
      </c>
      <c r="AF114" s="16" t="inlineStr">
        <is>
          <t>Buena en áreas principales; confirmar detalles con el recinto</t>
        </is>
      </c>
      <c r="AG114" s="90" t="n">
        <v>34.7048</v>
      </c>
      <c r="AH114" s="90" t="n">
        <v>135.4935</v>
      </c>
      <c r="AI114" s="16" t="inlineStr">
        <is>
          <t>https://umekita.com/e_index/</t>
        </is>
      </c>
      <c r="AJ114" s="16" t="inlineStr">
        <is>
          <t>Verificado</t>
        </is>
      </c>
      <c r="AK114" s="16" t="inlineStr">
        <is>
          <t>NEW / ARCHITECTURE</t>
        </is>
      </c>
      <c r="AL114" s="16" t="inlineStr">
        <is>
          <t>pareja, arquitectura, parques</t>
        </is>
      </c>
      <c r="AM114" s="91" t="n">
        <v>4</v>
      </c>
      <c r="AN114" s="91" t="n">
        <v>4</v>
      </c>
      <c r="AO114" s="91" t="n">
        <v>5</v>
      </c>
      <c r="AP114" s="91" t="n">
        <v>3</v>
      </c>
      <c r="AQ114" s="16" t="inlineStr">
        <is>
          <t>Imagen ideal: introduce paisaje amplio en el nodo ferroviario más denso de la ciudad. con luz de atardecer, sin multitudes dominando el encuadre.</t>
        </is>
      </c>
      <c r="AR114" s="16" t="inlineStr">
        <is>
          <t>Umeda Sky Building (~5 min a pie) | Nakanoshima Museum of Art (~21 min a pie) | Osaka Museum of Housing and Living (~24 min a pie)</t>
        </is>
      </c>
      <c r="AS114" s="16" t="inlineStr">
        <is>
          <t>Lugar conocido pero excelente</t>
        </is>
      </c>
      <c r="AT114" s="16" t="str"/>
      <c r="AU114" s="16" t="inlineStr">
        <is>
          <t>https://www.google.com/maps/search/?api=1&amp;query=Grand%20Green%20Osaka%2C%20Osaka%2C%20Japan</t>
        </is>
      </c>
      <c r="AV114" s="16" t="inlineStr">
        <is>
          <t>2026-09-01</t>
        </is>
      </c>
      <c r="AW114" s="16" t="inlineStr">
        <is>
          <t>CALENDARIO / CONDICIÓN PENDIENTE</t>
        </is>
      </c>
      <c r="AX114" s="16" t="inlineStr">
        <is>
          <t>No hay cierre específico confirmado para la ventana, pero horarios o acceso pueden variar.</t>
        </is>
      </c>
      <c r="AY114" s="16" t="inlineStr">
        <is>
          <t>Reconfirmar en la web oficial al fijar fechas.</t>
        </is>
      </c>
    </row>
    <row r="115" ht="66" customHeight="1">
      <c r="A115" s="16" t="inlineStr">
        <is>
          <t>JP-114</t>
        </is>
      </c>
      <c r="B115" s="16" t="inlineStr">
        <is>
          <t>Osaka</t>
        </is>
      </c>
      <c r="C115" s="16" t="inlineStr">
        <is>
          <t>Kansai</t>
        </is>
      </c>
      <c r="D115" s="16" t="inlineStr">
        <is>
          <t>Osaka</t>
        </is>
      </c>
      <c r="E115" s="16" t="inlineStr">
        <is>
          <t>Osaka</t>
        </is>
      </c>
      <c r="F115" s="16" t="inlineStr">
        <is>
          <t>Nakanoshima</t>
        </is>
      </c>
      <c r="G115" s="16" t="inlineStr">
        <is>
          <t>Nakanoshima</t>
        </is>
      </c>
      <c r="H115" s="16" t="inlineStr">
        <is>
          <t>Nakanoshima waterfront</t>
        </is>
      </c>
      <c r="I115" s="16" t="inlineStr">
        <is>
          <t>中之島</t>
        </is>
      </c>
      <c r="J115" s="16" t="inlineStr">
        <is>
          <t>Nakanoshima waterfront</t>
        </is>
      </c>
      <c r="K115" s="16" t="inlineStr">
        <is>
          <t>🏙️ Ciudad y barrios</t>
        </is>
      </c>
      <c r="L115" s="16" t="inlineStr">
        <is>
          <t>isla urbana/paseo</t>
        </is>
      </c>
      <c r="M115" s="16" t="inlineStr">
        <is>
          <t>A</t>
        </is>
      </c>
      <c r="N115" s="16" t="inlineStr">
        <is>
          <t>El mejor conjunto de arquitectura, río, museos y cafés de Osaka. Clasificación v2: excelente y muy recomendable, pero no justifica por sí sola adaptar la ruta.</t>
        </is>
      </c>
      <c r="O115" s="16" t="inlineStr">
        <is>
          <t>Isla entre ríos con edificios Meiji, parques y museos contemporáneos.</t>
        </is>
      </c>
      <c r="P115" s="16" t="inlineStr">
        <is>
          <t>Muestra el lado cívico y cultural que el cliché de neón suele ocultar.</t>
        </is>
      </c>
      <c r="Q115" s="16" t="inlineStr">
        <is>
          <t>Isla entre ríos con edificios Meiji, parques y museos contemporáneos.</t>
        </is>
      </c>
      <c r="R115" s="16" t="inlineStr">
        <is>
          <t>3–5 h</t>
        </is>
      </c>
      <c r="S115" s="16" t="inlineStr">
        <is>
          <t>Tarde</t>
        </is>
      </c>
      <c r="T115" s="16" t="inlineStr">
        <is>
          <t>Primavera y otoño</t>
        </is>
      </c>
      <c r="U115" s="16" t="inlineStr">
        <is>
          <t>Medio</t>
        </is>
      </c>
      <c r="V115" s="16" t="inlineStr">
        <is>
          <t>Medio</t>
        </is>
      </c>
      <c r="W115" s="89" t="n">
        <v>0</v>
      </c>
      <c r="X115" s="89" t="n">
        <v>0</v>
      </c>
      <c r="Y115" s="89">
        <f>W115*'Configuración'!$B$4</f>
        <v/>
      </c>
      <c r="Z115" s="89">
        <f>X115*'Configuración'!$B$4</f>
        <v/>
      </c>
      <c r="AA115" s="16" t="inlineStr">
        <is>
          <t>No</t>
        </is>
      </c>
      <c r="AB115" s="16" t="inlineStr">
        <is>
          <t>—</t>
        </is>
      </c>
      <c r="AC115" s="16" t="inlineStr">
        <is>
          <t>Espacio público; recintos variables</t>
        </is>
      </c>
      <c r="AD115" s="16" t="inlineStr">
        <is>
          <t>Sin cierre</t>
        </is>
      </c>
      <c r="AE115" s="16" t="inlineStr">
        <is>
          <t>Yodoyabashi / Nakanoshima</t>
        </is>
      </c>
      <c r="AF115" s="16" t="inlineStr">
        <is>
          <t>Parcial o baja; terreno irregular y condiciones naturales</t>
        </is>
      </c>
      <c r="AG115" s="90" t="n">
        <v>34.6924</v>
      </c>
      <c r="AH115" s="90" t="n">
        <v>135.5056</v>
      </c>
      <c r="AI115" s="16" t="inlineStr">
        <is>
          <t>https://osaka-info.jp/en/</t>
        </is>
      </c>
      <c r="AJ115" s="16" t="inlineStr">
        <is>
          <t>Cambiante</t>
        </is>
      </c>
      <c r="AK115" s="16" t="inlineStr">
        <is>
          <t>HIDDEN OSAKA</t>
        </is>
      </c>
      <c r="AL115" s="16" t="inlineStr">
        <is>
          <t>pareja, arquitectura, arte, fotografía</t>
        </is>
      </c>
      <c r="AM115" s="91" t="n">
        <v>5</v>
      </c>
      <c r="AN115" s="91" t="n">
        <v>5</v>
      </c>
      <c r="AO115" s="91" t="n">
        <v>5</v>
      </c>
      <c r="AP115" s="91" t="n">
        <v>2</v>
      </c>
      <c r="AQ115" s="16" t="inlineStr">
        <is>
          <t>Imagen ideal: muestra el lado cívico y cultural que el cliché de neón suele ocultar. con luz de tarde, sin multitudes dominando el encuadre.</t>
        </is>
      </c>
      <c r="AR115" s="16" t="inlineStr">
        <is>
          <t>Nakanoshima Museum of Art (~20 min a pie) | Osaka Museum of History (~25 min a pie) | Grand Green Osaka (~25 min a pie)</t>
        </is>
      </c>
      <c r="AS115" s="16" t="inlineStr">
        <is>
          <t>Semi-hidden</t>
        </is>
      </c>
      <c r="AT115" s="16" t="str"/>
      <c r="AU115" s="16" t="inlineStr">
        <is>
          <t>https://www.google.com/maps/search/?api=1&amp;query=Nakanoshima%20waterfront%2C%20Osaka%2C%20Japan</t>
        </is>
      </c>
      <c r="AV115" s="16" t="inlineStr">
        <is>
          <t>2026-09-01</t>
        </is>
      </c>
      <c r="AW115" s="16" t="inlineStr">
        <is>
          <t>CALENDARIO / CONDICIÓN PENDIENTE</t>
        </is>
      </c>
      <c r="AX115" s="16" t="inlineStr">
        <is>
          <t>No hay cierre específico confirmado para la ventana, pero horarios o acceso pueden variar.</t>
        </is>
      </c>
      <c r="AY115" s="16" t="inlineStr">
        <is>
          <t>Reconfirmar en la web oficial al fijar fechas.</t>
        </is>
      </c>
    </row>
    <row r="116" ht="66" customHeight="1">
      <c r="A116" s="16" t="inlineStr">
        <is>
          <t>JP-115</t>
        </is>
      </c>
      <c r="B116" s="16" t="inlineStr">
        <is>
          <t>Osaka</t>
        </is>
      </c>
      <c r="C116" s="16" t="inlineStr">
        <is>
          <t>Kansai</t>
        </is>
      </c>
      <c r="D116" s="16" t="inlineStr">
        <is>
          <t>Osaka</t>
        </is>
      </c>
      <c r="E116" s="16" t="inlineStr">
        <is>
          <t>Osaka</t>
        </is>
      </c>
      <c r="F116" s="16" t="inlineStr">
        <is>
          <t>Nakanoshima</t>
        </is>
      </c>
      <c r="G116" s="16" t="inlineStr">
        <is>
          <t>Nakanoshima</t>
        </is>
      </c>
      <c r="H116" s="16" t="inlineStr">
        <is>
          <t>Nakanoshima Museum of Art</t>
        </is>
      </c>
      <c r="I116" s="16" t="inlineStr">
        <is>
          <t>大阪中之島美術館</t>
        </is>
      </c>
      <c r="J116" s="16" t="inlineStr">
        <is>
          <t>Nakanoshima Museum of Art</t>
        </is>
      </c>
      <c r="K116" s="16" t="inlineStr">
        <is>
          <t>🎨 Arte</t>
        </is>
      </c>
      <c r="L116" s="16" t="inlineStr">
        <is>
          <t>museo</t>
        </is>
      </c>
      <c r="M116" s="16" t="inlineStr">
        <is>
          <t>A</t>
        </is>
      </c>
      <c r="N116" s="16" t="inlineStr">
        <is>
          <t>Arquitectura fuerte y colecciones modernas vinculadas con Osaka.</t>
        </is>
      </c>
      <c r="O116" s="16" t="inlineStr">
        <is>
          <t>Museo negro elevado con arte desde el siglo XIX al presente.</t>
        </is>
      </c>
      <c r="P116" s="16" t="inlineStr">
        <is>
          <t>El edificio y plaza funcionan como pieza urbana.</t>
        </is>
      </c>
      <c r="Q116" s="16" t="inlineStr">
        <is>
          <t>Museo negro elevado con arte desde el siglo XIX al presente.</t>
        </is>
      </c>
      <c r="R116" s="16" t="inlineStr">
        <is>
          <t>2–3 h</t>
        </is>
      </c>
      <c r="S116" s="16" t="inlineStr">
        <is>
          <t>Tarde</t>
        </is>
      </c>
      <c r="T116" s="16" t="inlineStr">
        <is>
          <t>Todo el año</t>
        </is>
      </c>
      <c r="U116" s="16" t="inlineStr">
        <is>
          <t>Medio</t>
        </is>
      </c>
      <c r="V116" s="16" t="inlineStr">
        <is>
          <t>Medio</t>
        </is>
      </c>
      <c r="W116" s="89" t="n">
        <v>0</v>
      </c>
      <c r="X116" s="89" t="n">
        <v>2500</v>
      </c>
      <c r="Y116" s="89">
        <f>W116*'Configuración'!$B$4</f>
        <v/>
      </c>
      <c r="Z116" s="89">
        <f>X116*'Configuración'!$B$4</f>
        <v/>
      </c>
      <c r="AA116" s="16" t="inlineStr">
        <is>
          <t>Recomendable</t>
        </is>
      </c>
      <c r="AB116" s="16" t="inlineStr">
        <is>
          <t>Según exposición</t>
        </is>
      </c>
      <c r="AC116" s="16" t="inlineStr">
        <is>
          <t>10:00–17:00 aprox.</t>
        </is>
      </c>
      <c r="AD116" s="16" t="inlineStr">
        <is>
          <t>Lunes; verificar</t>
        </is>
      </c>
      <c r="AE116" s="16" t="inlineStr">
        <is>
          <t>Watanabebashi</t>
        </is>
      </c>
      <c r="AF116" s="16" t="inlineStr">
        <is>
          <t>Buena en áreas principales; confirmar detalles con el recinto</t>
        </is>
      </c>
      <c r="AG116" s="90" t="n">
        <v>34.6915</v>
      </c>
      <c r="AH116" s="90" t="n">
        <v>135.4899</v>
      </c>
      <c r="AI116" s="16" t="inlineStr">
        <is>
          <t>https://nakka-art.jp/en/</t>
        </is>
      </c>
      <c r="AJ116" s="16" t="inlineStr">
        <is>
          <t>Cambiante</t>
        </is>
      </c>
      <c r="AK116" s="16" t="inlineStr">
        <is>
          <t>ART</t>
        </is>
      </c>
      <c r="AL116" s="16" t="inlineStr">
        <is>
          <t>arte, arquitectura, lluvia</t>
        </is>
      </c>
      <c r="AM116" s="91" t="n">
        <v>5</v>
      </c>
      <c r="AN116" s="91" t="n">
        <v>4</v>
      </c>
      <c r="AO116" s="91" t="n">
        <v>4</v>
      </c>
      <c r="AP116" s="91" t="n">
        <v>2</v>
      </c>
      <c r="AQ116" s="16" t="inlineStr">
        <is>
          <t>Imagen ideal: el edificio y plaza funcionan como pieza urbana. con luz de tarde, sin multitudes dominando el encuadre.</t>
        </is>
      </c>
      <c r="AR116" s="16" t="inlineStr">
        <is>
          <t>Nakanoshima waterfront (~20 min a pie) | Grand Green Osaka (~21 min a pie) | Umeda Sky Building (~21 min a pie)</t>
        </is>
      </c>
      <c r="AS116" s="16" t="inlineStr">
        <is>
          <t>Lugar conocido pero excelente</t>
        </is>
      </c>
      <c r="AT116" s="16" t="str"/>
      <c r="AU116" s="16" t="inlineStr">
        <is>
          <t>https://www.google.com/maps/search/?api=1&amp;query=Nakanoshima%20Museum%20of%20Art%2C%20Osaka%2C%20Japan</t>
        </is>
      </c>
      <c r="AV116" s="16" t="inlineStr">
        <is>
          <t>2026-09-01</t>
        </is>
      </c>
      <c r="AW116" s="16" t="inlineStr">
        <is>
          <t>CALENDARIO / CONDICIÓN PENDIENTE</t>
        </is>
      </c>
      <c r="AX116" s="16" t="inlineStr">
        <is>
          <t>No hay cierre específico confirmado para la ventana, pero horarios o acceso pueden variar.</t>
        </is>
      </c>
      <c r="AY116" s="16" t="inlineStr">
        <is>
          <t>Reconfirmar en la web oficial al fijar fechas.</t>
        </is>
      </c>
    </row>
    <row r="117" ht="66" customHeight="1">
      <c r="A117" s="16" t="inlineStr">
        <is>
          <t>JP-116</t>
        </is>
      </c>
      <c r="B117" s="16" t="inlineStr">
        <is>
          <t>Osaka</t>
        </is>
      </c>
      <c r="C117" s="16" t="inlineStr">
        <is>
          <t>Kansai</t>
        </is>
      </c>
      <c r="D117" s="16" t="inlineStr">
        <is>
          <t>Osaka</t>
        </is>
      </c>
      <c r="E117" s="16" t="inlineStr">
        <is>
          <t>Osaka</t>
        </is>
      </c>
      <c r="F117" s="16" t="inlineStr">
        <is>
          <t>Tenma</t>
        </is>
      </c>
      <c r="G117" s="16" t="inlineStr">
        <is>
          <t>Tenma</t>
        </is>
      </c>
      <c r="H117" s="16" t="inlineStr">
        <is>
          <t>Osaka Museum of Housing and Living</t>
        </is>
      </c>
      <c r="I117" s="16" t="inlineStr">
        <is>
          <t>大阪くらしの今昔館</t>
        </is>
      </c>
      <c r="J117" s="16" t="inlineStr">
        <is>
          <t>Osaka Museum of Housing and Living</t>
        </is>
      </c>
      <c r="K117" s="16" t="inlineStr">
        <is>
          <t>🏛️ Museos</t>
        </is>
      </c>
      <c r="L117" s="16" t="inlineStr">
        <is>
          <t>museo inmersivo</t>
        </is>
      </c>
      <c r="M117" s="16" t="inlineStr">
        <is>
          <t>A</t>
        </is>
      </c>
      <c r="N117" s="16" t="inlineStr">
        <is>
          <t>Reconstrucción a escala real que explica vida cotidiana mejor que muchos castillos.</t>
        </is>
      </c>
      <c r="O117" s="16" t="inlineStr">
        <is>
          <t>Calles interiores de Osaka Edo y galerías sobre vivienda moderna.</t>
        </is>
      </c>
      <c r="P117" s="16" t="inlineStr">
        <is>
          <t>Se entra en la ciudad reconstruida y cambia la iluminación del día.</t>
        </is>
      </c>
      <c r="Q117" s="16" t="inlineStr">
        <is>
          <t>Calles interiores de Osaka Edo y galerías sobre vivienda moderna.</t>
        </is>
      </c>
      <c r="R117" s="16" t="inlineStr">
        <is>
          <t>2–3 h</t>
        </is>
      </c>
      <c r="S117" s="16" t="inlineStr">
        <is>
          <t>Tarde</t>
        </is>
      </c>
      <c r="T117" s="16" t="inlineStr">
        <is>
          <t>Todo el año</t>
        </is>
      </c>
      <c r="U117" s="16" t="inlineStr">
        <is>
          <t>Medio</t>
        </is>
      </c>
      <c r="V117" s="16" t="inlineStr">
        <is>
          <t>Medio</t>
        </is>
      </c>
      <c r="W117" s="89" t="n">
        <v>600</v>
      </c>
      <c r="X117" s="89" t="n">
        <v>600</v>
      </c>
      <c r="Y117" s="89">
        <f>W117*'Configuración'!$B$4</f>
        <v/>
      </c>
      <c r="Z117" s="89">
        <f>X117*'Configuración'!$B$4</f>
        <v/>
      </c>
      <c r="AA117" s="16" t="inlineStr">
        <is>
          <t>Recomendable</t>
        </is>
      </c>
      <c r="AB117" s="16" t="inlineStr">
        <is>
          <t>Días en fin de semana</t>
        </is>
      </c>
      <c r="AC117" s="16" t="inlineStr">
        <is>
          <t>10:00–17:00 aprox.</t>
        </is>
      </c>
      <c r="AD117" s="16" t="inlineStr">
        <is>
          <t>Martes; verificar</t>
        </is>
      </c>
      <c r="AE117" s="16" t="inlineStr">
        <is>
          <t>Tenjinbashisuji 6-chome</t>
        </is>
      </c>
      <c r="AF117" s="16" t="inlineStr">
        <is>
          <t>Buena en áreas principales; confirmar detalles con el recinto</t>
        </is>
      </c>
      <c r="AG117" s="90" t="n">
        <v>34.7105</v>
      </c>
      <c r="AH117" s="90" t="n">
        <v>135.511</v>
      </c>
      <c r="AI117" s="16" t="inlineStr">
        <is>
          <t>https://www.osaka-angenet.jp/konjyakukan/</t>
        </is>
      </c>
      <c r="AJ117" s="16" t="inlineStr">
        <is>
          <t>Cambiante</t>
        </is>
      </c>
      <c r="AK117" s="16" t="inlineStr">
        <is>
          <t>HIDDEN GEM</t>
        </is>
      </c>
      <c r="AL117" s="16" t="inlineStr">
        <is>
          <t>historia, arquitectura, lluvia</t>
        </is>
      </c>
      <c r="AM117" s="91" t="n">
        <v>5</v>
      </c>
      <c r="AN117" s="91" t="n">
        <v>5</v>
      </c>
      <c r="AO117" s="91" t="n">
        <v>5</v>
      </c>
      <c r="AP117" s="91" t="n">
        <v>2</v>
      </c>
      <c r="AQ117" s="16" t="inlineStr">
        <is>
          <t>Imagen ideal: se entra en la ciudad reconstruida y cambia la iluminación del día. con luz de tarde, sin multitudes dominando el encuadre.</t>
        </is>
      </c>
      <c r="AR117" s="16" t="inlineStr">
        <is>
          <t>Grand Green Osaka (~24 min a pie) | Umeda Sky Building (~28 min en transporte) | Nakanoshima waterfront (~29 min en transporte)</t>
        </is>
      </c>
      <c r="AS117" s="16" t="inlineStr">
        <is>
          <t>Hidden Gem real</t>
        </is>
      </c>
      <c r="AT117" s="16" t="str"/>
      <c r="AU117" s="16" t="inlineStr">
        <is>
          <t>https://www.google.com/maps/search/?api=1&amp;query=Osaka%20Museum%20of%20Housing%20and%20Living%2C%20Osaka%2C%20Japan</t>
        </is>
      </c>
      <c r="AV117" s="16" t="inlineStr">
        <is>
          <t>2026-09-01</t>
        </is>
      </c>
      <c r="AW117" s="16" t="inlineStr">
        <is>
          <t>CALENDARIO / CONDICIÓN PENDIENTE</t>
        </is>
      </c>
      <c r="AX117" s="16" t="inlineStr">
        <is>
          <t>No hay cierre específico confirmado para la ventana, pero horarios o acceso pueden variar.</t>
        </is>
      </c>
      <c r="AY117" s="16" t="inlineStr">
        <is>
          <t>Reconfirmar en la web oficial al fijar fechas.</t>
        </is>
      </c>
    </row>
    <row r="118" ht="66" customHeight="1">
      <c r="A118" s="16" t="inlineStr">
        <is>
          <t>JP-117</t>
        </is>
      </c>
      <c r="B118" s="16" t="inlineStr">
        <is>
          <t>Osaka</t>
        </is>
      </c>
      <c r="C118" s="16" t="inlineStr">
        <is>
          <t>Kansai</t>
        </is>
      </c>
      <c r="D118" s="16" t="inlineStr">
        <is>
          <t>Osaka</t>
        </is>
      </c>
      <c r="E118" s="16" t="inlineStr">
        <is>
          <t>Osaka</t>
        </is>
      </c>
      <c r="F118" s="16" t="inlineStr">
        <is>
          <t>Osaka Castle</t>
        </is>
      </c>
      <c r="G118" s="16" t="inlineStr">
        <is>
          <t>Osaka Castle</t>
        </is>
      </c>
      <c r="H118" s="16" t="inlineStr">
        <is>
          <t>Osaka Castle Park and exterior</t>
        </is>
      </c>
      <c r="I118" s="16" t="inlineStr">
        <is>
          <t>大阪城公園・大阪城</t>
        </is>
      </c>
      <c r="J118" s="16" t="inlineStr">
        <is>
          <t>Osaka Castle Park and exterior</t>
        </is>
      </c>
      <c r="K118" s="16" t="inlineStr">
        <is>
          <t>🏯 Historia y patrimonio</t>
        </is>
      </c>
      <c r="L118" s="16" t="inlineStr">
        <is>
          <t>castillo/parque</t>
        </is>
      </c>
      <c r="M118" s="16" t="inlineStr">
        <is>
          <t>A</t>
        </is>
      </c>
      <c r="N118" s="16" t="inlineStr">
        <is>
          <t>El perfil exterior, murallas y fosos son esenciales; el interior reconstruido es secundario.</t>
        </is>
      </c>
      <c r="O118" s="16" t="inlineStr">
        <is>
          <t>Gran fortaleza reconstruida rodeada de parques y muros masivos.</t>
        </is>
      </c>
      <c r="P118" s="16" t="inlineStr">
        <is>
          <t>La escala defensiva se aprecia mejor caminando el recinto.</t>
        </is>
      </c>
      <c r="Q118" s="16" t="inlineStr">
        <is>
          <t>Gran fortaleza reconstruida rodeada de parques y muros masivos.</t>
        </is>
      </c>
      <c r="R118" s="16" t="inlineStr">
        <is>
          <t>2–4 h</t>
        </is>
      </c>
      <c r="S118" s="16" t="inlineStr">
        <is>
          <t>Mañana</t>
        </is>
      </c>
      <c r="T118" s="16" t="inlineStr">
        <is>
          <t>Sakura y otoño</t>
        </is>
      </c>
      <c r="U118" s="16" t="inlineStr">
        <is>
          <t>Extremo</t>
        </is>
      </c>
      <c r="V118" s="16" t="inlineStr">
        <is>
          <t>Extremo</t>
        </is>
      </c>
      <c r="W118" s="89" t="n">
        <v>0</v>
      </c>
      <c r="X118" s="89" t="n">
        <v>1200</v>
      </c>
      <c r="Y118" s="89">
        <f>W118*'Configuración'!$B$4</f>
        <v/>
      </c>
      <c r="Z118" s="89">
        <f>X118*'Configuración'!$B$4</f>
        <v/>
      </c>
      <c r="AA118" s="16" t="inlineStr">
        <is>
          <t>Recomendable</t>
        </is>
      </c>
      <c r="AB118" s="16" t="inlineStr">
        <is>
          <t>Días para museo</t>
        </is>
      </c>
      <c r="AC118" s="16" t="inlineStr">
        <is>
          <t>09:00–17:00 museo; parque abierto</t>
        </is>
      </c>
      <c r="AD118" s="16" t="inlineStr">
        <is>
          <t>Fin de año; verificar</t>
        </is>
      </c>
      <c r="AE118" s="16" t="inlineStr">
        <is>
          <t>Morinomiya / Osakajokoen / Tanimachi 4-chome</t>
        </is>
      </c>
      <c r="AF118" s="16" t="inlineStr">
        <is>
          <t>Parcial; pueden existir escalones, grava o edificios sin elevador</t>
        </is>
      </c>
      <c r="AG118" s="90" t="n">
        <v>34.6873</v>
      </c>
      <c r="AH118" s="90" t="n">
        <v>135.5262</v>
      </c>
      <c r="AI118" s="16" t="inlineStr">
        <is>
          <t>https://www.osakacastle.net/english/</t>
        </is>
      </c>
      <c r="AJ118" s="16" t="inlineStr">
        <is>
          <t>Cambiante</t>
        </is>
      </c>
      <c r="AK118" s="16" t="inlineStr">
        <is>
          <t>ICON</t>
        </is>
      </c>
      <c r="AL118" s="16" t="inlineStr">
        <is>
          <t>historia, fotografía, parques</t>
        </is>
      </c>
      <c r="AM118" s="91" t="n">
        <v>5</v>
      </c>
      <c r="AN118" s="91" t="n">
        <v>3</v>
      </c>
      <c r="AO118" s="91" t="n">
        <v>4</v>
      </c>
      <c r="AP118" s="91" t="n">
        <v>5</v>
      </c>
      <c r="AQ118" s="16" t="inlineStr">
        <is>
          <t>Imagen ideal: la escala defensiva se aprecia mejor caminando el recinto. con luz de mañana, sin multitudes dominando el encuadre.</t>
        </is>
      </c>
      <c r="AR118" s="16" t="inlineStr">
        <is>
          <t>Osaka Museum of History (~10 min a pie) | Nakanoshima waterfront (~28 min en transporte)</t>
        </is>
      </c>
      <c r="AS118" s="16" t="inlineStr">
        <is>
          <t>Popular / turístico</t>
        </is>
      </c>
      <c r="AT118" s="16" t="str"/>
      <c r="AU118" s="16" t="inlineStr">
        <is>
          <t>https://www.google.com/maps/search/?api=1&amp;query=Osaka%20Castle%20Park%20and%20exterior%2C%20Osaka%2C%20Japan</t>
        </is>
      </c>
      <c r="AV118" s="16" t="inlineStr">
        <is>
          <t>2026-09-01</t>
        </is>
      </c>
      <c r="AW118" s="16" t="inlineStr">
        <is>
          <t>ABIERTO; FLORACIÓN NO GARANTIZADA</t>
        </is>
      </c>
      <c r="AX118" s="16" t="inlineStr">
        <is>
          <t>En Japón central la floración plena suele ser más tardía; finales de marzo es incierto.</t>
        </is>
      </c>
      <c r="AY118" s="16" t="inlineStr">
        <is>
          <t>No basar la visita en sakura hasta el pronóstico 2027.</t>
        </is>
      </c>
    </row>
    <row r="119" ht="66" customHeight="1">
      <c r="A119" s="16" t="inlineStr">
        <is>
          <t>JP-118</t>
        </is>
      </c>
      <c r="B119" s="16" t="inlineStr">
        <is>
          <t>Osaka</t>
        </is>
      </c>
      <c r="C119" s="16" t="inlineStr">
        <is>
          <t>Kansai</t>
        </is>
      </c>
      <c r="D119" s="16" t="inlineStr">
        <is>
          <t>Osaka</t>
        </is>
      </c>
      <c r="E119" s="16" t="inlineStr">
        <is>
          <t>Osaka</t>
        </is>
      </c>
      <c r="F119" s="16" t="inlineStr">
        <is>
          <t>Osaka Castle</t>
        </is>
      </c>
      <c r="G119" s="16" t="inlineStr">
        <is>
          <t>Osaka Castle</t>
        </is>
      </c>
      <c r="H119" s="16" t="inlineStr">
        <is>
          <t>Osaka Museum of History</t>
        </is>
      </c>
      <c r="I119" s="16" t="inlineStr">
        <is>
          <t>大阪歴史博物館</t>
        </is>
      </c>
      <c r="J119" s="16" t="inlineStr">
        <is>
          <t>Osaka Museum of History</t>
        </is>
      </c>
      <c r="K119" s="16" t="inlineStr">
        <is>
          <t>🏛️ Museos</t>
        </is>
      </c>
      <c r="L119" s="16" t="inlineStr">
        <is>
          <t>museo</t>
        </is>
      </c>
      <c r="M119" s="16" t="inlineStr">
        <is>
          <t>A</t>
        </is>
      </c>
      <c r="N119" s="16" t="inlineStr">
        <is>
          <t>Contextualiza la ciudad y ofrece vistas excelentes del castillo desde arriba.</t>
        </is>
      </c>
      <c r="O119" s="16" t="inlineStr">
        <is>
          <t>Museo por niveles desde Naniwa-no-Miya hasta Osaka moderna.</t>
        </is>
      </c>
      <c r="P119" s="16" t="inlineStr">
        <is>
          <t>La narrativa urbana supera al interior del castillo reconstruido.</t>
        </is>
      </c>
      <c r="Q119" s="16" t="inlineStr">
        <is>
          <t>Museo por niveles desde Naniwa-no-Miya hasta Osaka moderna.</t>
        </is>
      </c>
      <c r="R119" s="16" t="inlineStr">
        <is>
          <t>2–3 h</t>
        </is>
      </c>
      <c r="S119" s="16" t="inlineStr">
        <is>
          <t>Tarde</t>
        </is>
      </c>
      <c r="T119" s="16" t="inlineStr">
        <is>
          <t>Todo el año</t>
        </is>
      </c>
      <c r="U119" s="16" t="inlineStr">
        <is>
          <t>Bajo</t>
        </is>
      </c>
      <c r="V119" s="16" t="inlineStr">
        <is>
          <t>Bajo</t>
        </is>
      </c>
      <c r="W119" s="89" t="n">
        <v>600</v>
      </c>
      <c r="X119" s="89" t="n">
        <v>600</v>
      </c>
      <c r="Y119" s="89">
        <f>W119*'Configuración'!$B$4</f>
        <v/>
      </c>
      <c r="Z119" s="89">
        <f>X119*'Configuración'!$B$4</f>
        <v/>
      </c>
      <c r="AA119" s="16" t="inlineStr">
        <is>
          <t>No</t>
        </is>
      </c>
      <c r="AB119" s="16" t="inlineStr">
        <is>
          <t>—</t>
        </is>
      </c>
      <c r="AC119" s="16" t="inlineStr">
        <is>
          <t>09:30–17:00 aprox.</t>
        </is>
      </c>
      <c r="AD119" s="16" t="inlineStr">
        <is>
          <t>Martes; verificar</t>
        </is>
      </c>
      <c r="AE119" s="16" t="inlineStr">
        <is>
          <t>Tanimachi 4-chome</t>
        </is>
      </c>
      <c r="AF119" s="16" t="inlineStr">
        <is>
          <t>Buena en áreas principales; confirmar detalles con el recinto</t>
        </is>
      </c>
      <c r="AG119" s="90" t="n">
        <v>34.6827</v>
      </c>
      <c r="AH119" s="90" t="n">
        <v>135.5207</v>
      </c>
      <c r="AI119" s="16" t="inlineStr">
        <is>
          <t>https://www.osakamushis.jp/eng/</t>
        </is>
      </c>
      <c r="AJ119" s="16" t="inlineStr">
        <is>
          <t>Cambiante</t>
        </is>
      </c>
      <c r="AK119" s="16" t="inlineStr">
        <is>
          <t>ALTERNATIVE</t>
        </is>
      </c>
      <c r="AL119" s="16" t="inlineStr">
        <is>
          <t>historia, arquitectura, lluvia</t>
        </is>
      </c>
      <c r="AM119" s="91" t="n">
        <v>4</v>
      </c>
      <c r="AN119" s="91" t="n">
        <v>5</v>
      </c>
      <c r="AO119" s="91" t="n">
        <v>5</v>
      </c>
      <c r="AP119" s="91" t="n">
        <v>1</v>
      </c>
      <c r="AQ119" s="16" t="inlineStr">
        <is>
          <t>Imagen ideal: la narrativa urbana supera al interior del castillo reconstruido. con luz de tarde, sin multitudes dominando el encuadre.</t>
        </is>
      </c>
      <c r="AR119" s="16" t="inlineStr">
        <is>
          <t>Osaka Castle Park and exterior (~10 min a pie) | Nakanoshima waterfront (~25 min a pie) | Kuromon Ichiba Market (~33 min en transporte)</t>
        </is>
      </c>
      <c r="AS119" s="16" t="inlineStr">
        <is>
          <t>Alternativa menos saturada</t>
        </is>
      </c>
      <c r="AT119" s="16" t="inlineStr">
        <is>
          <t>Interior de Osaka Castle</t>
        </is>
      </c>
      <c r="AU119" s="16" t="inlineStr">
        <is>
          <t>https://www.google.com/maps/search/?api=1&amp;query=Osaka%20Museum%20of%20History%2C%20Osaka%2C%20Japan</t>
        </is>
      </c>
      <c r="AV119" s="16" t="inlineStr">
        <is>
          <t>2026-09-01</t>
        </is>
      </c>
      <c r="AW119" s="16" t="inlineStr">
        <is>
          <t>CALENDARIO / CONDICIÓN PENDIENTE</t>
        </is>
      </c>
      <c r="AX119" s="16" t="inlineStr">
        <is>
          <t>No hay cierre específico confirmado para la ventana, pero horarios o acceso pueden variar.</t>
        </is>
      </c>
      <c r="AY119" s="16" t="inlineStr">
        <is>
          <t>Reconfirmar en la web oficial al fijar fechas.</t>
        </is>
      </c>
    </row>
    <row r="120" ht="66" customHeight="1">
      <c r="A120" s="16" t="inlineStr">
        <is>
          <t>JP-119</t>
        </is>
      </c>
      <c r="B120" s="16" t="inlineStr">
        <is>
          <t>Osaka</t>
        </is>
      </c>
      <c r="C120" s="16" t="inlineStr">
        <is>
          <t>Kansai</t>
        </is>
      </c>
      <c r="D120" s="16" t="inlineStr">
        <is>
          <t>Osaka</t>
        </is>
      </c>
      <c r="E120" s="16" t="inlineStr">
        <is>
          <t>Osaka</t>
        </is>
      </c>
      <c r="F120" s="16" t="inlineStr">
        <is>
          <t>Tennoji</t>
        </is>
      </c>
      <c r="G120" s="16" t="inlineStr">
        <is>
          <t>Shinsekai–Tennoji</t>
        </is>
      </c>
      <c r="H120" s="16" t="inlineStr">
        <is>
          <t>Shitennō-ji</t>
        </is>
      </c>
      <c r="I120" s="16" t="inlineStr">
        <is>
          <t>四天王寺</t>
        </is>
      </c>
      <c r="J120" s="16" t="inlineStr">
        <is>
          <t>Shitennō-ji</t>
        </is>
      </c>
      <c r="K120" s="16" t="inlineStr">
        <is>
          <t>⛩️ Templos y santuarios</t>
        </is>
      </c>
      <c r="L120" s="16" t="inlineStr">
        <is>
          <t>templo</t>
        </is>
      </c>
      <c r="M120" s="16" t="inlineStr">
        <is>
          <t>A</t>
        </is>
      </c>
      <c r="N120" s="16" t="inlineStr">
        <is>
          <t>Gran templo histórico activo y mucho menos saturado que equivalentes de Kioto.</t>
        </is>
      </c>
      <c r="O120" s="16" t="inlineStr">
        <is>
          <t>Uno de los templos budistas más antiguos de Japón, con patio axial.</t>
        </is>
      </c>
      <c r="P120" s="16" t="inlineStr">
        <is>
          <t>Rituales, mercado mensual y arquitectura reconstruida con lógica antigua.</t>
        </is>
      </c>
      <c r="Q120" s="16" t="inlineStr">
        <is>
          <t>Uno de los templos budistas más antiguos de Japón, con patio axial.</t>
        </is>
      </c>
      <c r="R120" s="16" t="inlineStr">
        <is>
          <t>1.5–2.5 h</t>
        </is>
      </c>
      <c r="S120" s="16" t="inlineStr">
        <is>
          <t>Mañana</t>
        </is>
      </c>
      <c r="T120" s="16" t="inlineStr">
        <is>
          <t>21–22 de cada mes para mercado</t>
        </is>
      </c>
      <c r="U120" s="16" t="inlineStr">
        <is>
          <t>Medio</t>
        </is>
      </c>
      <c r="V120" s="16" t="inlineStr">
        <is>
          <t>Bajo</t>
        </is>
      </c>
      <c r="W120" s="89" t="n">
        <v>300</v>
      </c>
      <c r="X120" s="89" t="n">
        <v>500</v>
      </c>
      <c r="Y120" s="89">
        <f>W120*'Configuración'!$B$4</f>
        <v/>
      </c>
      <c r="Z120" s="89">
        <f>X120*'Configuración'!$B$4</f>
        <v/>
      </c>
      <c r="AA120" s="16" t="inlineStr">
        <is>
          <t>No</t>
        </is>
      </c>
      <c r="AB120" s="16" t="inlineStr">
        <is>
          <t>—</t>
        </is>
      </c>
      <c r="AC120" s="16" t="inlineStr">
        <is>
          <t>08:30–16:30 aprox.</t>
        </is>
      </c>
      <c r="AD120" s="16" t="inlineStr">
        <is>
          <t>Sin cierre ordinario</t>
        </is>
      </c>
      <c r="AE120" s="16" t="inlineStr">
        <is>
          <t>Shitennoji-mae Yuhigaoka</t>
        </is>
      </c>
      <c r="AF120" s="16" t="inlineStr">
        <is>
          <t>Parcial; pueden existir escalones, grava o edificios sin elevador</t>
        </is>
      </c>
      <c r="AG120" s="90" t="n">
        <v>34.6548</v>
      </c>
      <c r="AH120" s="90" t="n">
        <v>135.5165</v>
      </c>
      <c r="AI120" s="16" t="inlineStr">
        <is>
          <t>https://www.shitennoji.or.jp/en/</t>
        </is>
      </c>
      <c r="AJ120" s="16" t="inlineStr">
        <is>
          <t>Cambiante</t>
        </is>
      </c>
      <c r="AK120" s="16" t="inlineStr">
        <is>
          <t>HIDDEN GEM</t>
        </is>
      </c>
      <c r="AL120" s="16" t="inlineStr">
        <is>
          <t>historia, cultura, fotografía</t>
        </is>
      </c>
      <c r="AM120" s="91" t="n">
        <v>4</v>
      </c>
      <c r="AN120" s="91" t="n">
        <v>5</v>
      </c>
      <c r="AO120" s="91" t="n">
        <v>5</v>
      </c>
      <c r="AP120" s="91" t="n">
        <v>1</v>
      </c>
      <c r="AQ120" s="16" t="inlineStr">
        <is>
          <t>Imagen ideal: rituales, mercado mensual y arquitectura reconstruida con lógica antigua. con luz de mañana, sin multitudes dominando el encuadre.</t>
        </is>
      </c>
      <c r="AR120" s="16" t="inlineStr">
        <is>
          <t>Den Den Town (~13 min a pie) | Shinsekai (~14 min a pie) | Tsutenkaku (~14 min a pie)</t>
        </is>
      </c>
      <c r="AS120" s="16" t="inlineStr">
        <is>
          <t>Semi-hidden</t>
        </is>
      </c>
      <c r="AT120" s="16" t="str"/>
      <c r="AU120" s="16" t="inlineStr">
        <is>
          <t>https://www.google.com/maps/search/?api=1&amp;query=Shitenn%C5%8D-ji%2C%20Osaka%2C%20Japan</t>
        </is>
      </c>
      <c r="AV120" s="16" t="inlineStr">
        <is>
          <t>2026-09-01</t>
        </is>
      </c>
      <c r="AW120" s="16" t="inlineStr">
        <is>
          <t>CALENDARIO / CONDICIÓN PENDIENTE</t>
        </is>
      </c>
      <c r="AX120" s="16" t="inlineStr">
        <is>
          <t>No hay cierre específico confirmado para la ventana, pero horarios o acceso pueden variar.</t>
        </is>
      </c>
      <c r="AY120" s="16" t="inlineStr">
        <is>
          <t>Reconfirmar en la web oficial al fijar fechas.</t>
        </is>
      </c>
    </row>
    <row r="121" ht="66" customHeight="1">
      <c r="A121" s="16" t="inlineStr">
        <is>
          <t>JP-120</t>
        </is>
      </c>
      <c r="B121" s="16" t="inlineStr">
        <is>
          <t>Osaka</t>
        </is>
      </c>
      <c r="C121" s="16" t="inlineStr">
        <is>
          <t>Kansai</t>
        </is>
      </c>
      <c r="D121" s="16" t="inlineStr">
        <is>
          <t>Osaka</t>
        </is>
      </c>
      <c r="E121" s="16" t="inlineStr">
        <is>
          <t>Osaka</t>
        </is>
      </c>
      <c r="F121" s="16" t="inlineStr">
        <is>
          <t>Nagai</t>
        </is>
      </c>
      <c r="G121" s="16" t="inlineStr">
        <is>
          <t>Nagai</t>
        </is>
      </c>
      <c r="H121" s="16" t="inlineStr">
        <is>
          <t>teamLab Botanical Garden Osaka</t>
        </is>
      </c>
      <c r="I121" s="16" t="inlineStr">
        <is>
          <t>チームラボ ボタニカルガーデン 大阪</t>
        </is>
      </c>
      <c r="J121" s="16" t="inlineStr">
        <is>
          <t>teamLab Botanical Garden Osaka</t>
        </is>
      </c>
      <c r="K121" s="16" t="inlineStr">
        <is>
          <t>🎨 Arte</t>
        </is>
      </c>
      <c r="L121" s="16" t="inlineStr">
        <is>
          <t>arte digital nocturno</t>
        </is>
      </c>
      <c r="M121" s="16" t="inlineStr">
        <is>
          <t>A</t>
        </is>
      </c>
      <c r="N121" s="16" t="inlineStr">
        <is>
          <t>La integración con árboles y clima real ofrece algo distinto a los museos interiores.</t>
        </is>
      </c>
      <c r="O121" s="16" t="inlineStr">
        <is>
          <t>Instalación nocturna permanente dentro del jardín botánico Nagai.</t>
        </is>
      </c>
      <c r="P121" s="16" t="inlineStr">
        <is>
          <t>Las obras responden al viento, personas y vegetación viva.</t>
        </is>
      </c>
      <c r="Q121" s="16" t="inlineStr">
        <is>
          <t>Instalación nocturna permanente dentro del jardín botánico Nagai.</t>
        </is>
      </c>
      <c r="R121" s="16" t="inlineStr">
        <is>
          <t>1.5–2.5 h</t>
        </is>
      </c>
      <c r="S121" s="16" t="inlineStr">
        <is>
          <t>Noche</t>
        </is>
      </c>
      <c r="T121" s="16" t="inlineStr">
        <is>
          <t>Primavera y otoño</t>
        </is>
      </c>
      <c r="U121" s="16" t="inlineStr">
        <is>
          <t>Alto</t>
        </is>
      </c>
      <c r="V121" s="16" t="inlineStr">
        <is>
          <t>Alto</t>
        </is>
      </c>
      <c r="W121" s="89" t="n">
        <v>1800</v>
      </c>
      <c r="X121" s="89" t="n">
        <v>2400</v>
      </c>
      <c r="Y121" s="89">
        <f>W121*'Configuración'!$B$4</f>
        <v/>
      </c>
      <c r="Z121" s="89">
        <f>X121*'Configuración'!$B$4</f>
        <v/>
      </c>
      <c r="AA121" s="16" t="inlineStr">
        <is>
          <t>Sí</t>
        </is>
      </c>
      <c r="AB121" s="16" t="inlineStr">
        <is>
          <t>Días/semanas</t>
        </is>
      </c>
      <c r="AC121" s="16" t="inlineStr">
        <is>
          <t>Tras puesta de sol; variable</t>
        </is>
      </c>
      <c r="AD121" s="16" t="inlineStr">
        <is>
          <t>Lluvia severa/mantenimiento</t>
        </is>
      </c>
      <c r="AE121" s="16" t="inlineStr">
        <is>
          <t>Nagai</t>
        </is>
      </c>
      <c r="AF121" s="16" t="inlineStr">
        <is>
          <t>Buena en áreas principales; confirmar detalles con el recinto</t>
        </is>
      </c>
      <c r="AG121" s="90" t="n">
        <v>34.6103</v>
      </c>
      <c r="AH121" s="90" t="n">
        <v>135.5216</v>
      </c>
      <c r="AI121" s="16" t="inlineStr">
        <is>
          <t>https://www.teamlab.art/e/botanicalgarden/</t>
        </is>
      </c>
      <c r="AJ121" s="16" t="inlineStr">
        <is>
          <t>Cambiante</t>
        </is>
      </c>
      <c r="AK121" s="16" t="inlineStr">
        <is>
          <t>ART / NIGHT</t>
        </is>
      </c>
      <c r="AL121" s="16" t="inlineStr">
        <is>
          <t>pareja, arte, naturaleza, fotografía</t>
        </is>
      </c>
      <c r="AM121" s="91" t="n">
        <v>5</v>
      </c>
      <c r="AN121" s="91" t="n">
        <v>5</v>
      </c>
      <c r="AO121" s="91" t="n">
        <v>4</v>
      </c>
      <c r="AP121" s="91" t="n">
        <v>4</v>
      </c>
      <c r="AQ121" s="16" t="inlineStr">
        <is>
          <t>Imagen ideal: las obras responden al viento, personas y vegetación viva. con luz de noche, sin multitudes dominando el encuadre.</t>
        </is>
      </c>
      <c r="AR121" s="16" t="str"/>
      <c r="AS121" s="16" t="inlineStr">
        <is>
          <t>Popular / turístico</t>
        </is>
      </c>
      <c r="AT121" s="16" t="str"/>
      <c r="AU121" s="16" t="inlineStr">
        <is>
          <t>https://www.google.com/maps/search/?api=1&amp;query=teamLab%20Botanical%20Garden%20Osaka%2C%20Osaka%2C%20Japan</t>
        </is>
      </c>
      <c r="AV121" s="16" t="inlineStr">
        <is>
          <t>2026-09-01</t>
        </is>
      </c>
      <c r="AW121" s="16" t="inlineStr">
        <is>
          <t>CALENDARIO / CONDICIÓN PENDIENTE</t>
        </is>
      </c>
      <c r="AX121" s="16" t="inlineStr">
        <is>
          <t>No hay cierre específico confirmado para la ventana, pero horarios o acceso pueden variar.</t>
        </is>
      </c>
      <c r="AY121" s="16" t="inlineStr">
        <is>
          <t>Reconfirmar en la web oficial al fijar fechas.</t>
        </is>
      </c>
    </row>
    <row r="122" ht="66" customHeight="1">
      <c r="A122" s="16" t="inlineStr">
        <is>
          <t>JP-121</t>
        </is>
      </c>
      <c r="B122" s="16" t="inlineStr">
        <is>
          <t>Osaka</t>
        </is>
      </c>
      <c r="C122" s="16" t="inlineStr">
        <is>
          <t>Kansai</t>
        </is>
      </c>
      <c r="D122" s="16" t="inlineStr">
        <is>
          <t>Osaka</t>
        </is>
      </c>
      <c r="E122" s="16" t="inlineStr">
        <is>
          <t>Suita</t>
        </is>
      </c>
      <c r="F122" s="16" t="inlineStr">
        <is>
          <t>Senri</t>
        </is>
      </c>
      <c r="G122" s="16" t="inlineStr">
        <is>
          <t>Expo ’70 Park</t>
        </is>
      </c>
      <c r="H122" s="16" t="inlineStr">
        <is>
          <t>Expo ’70 Park + Tower of the Sun</t>
        </is>
      </c>
      <c r="I122" s="16" t="inlineStr">
        <is>
          <t>万博記念公園・太陽の塔</t>
        </is>
      </c>
      <c r="J122" s="16" t="inlineStr">
        <is>
          <t>Expo ’70 Park + Tower of the Sun</t>
        </is>
      </c>
      <c r="K122" s="16" t="inlineStr">
        <is>
          <t>🧩 Extraño/peculiar/único</t>
        </is>
      </c>
      <c r="L122" s="16" t="inlineStr">
        <is>
          <t>parque/monumento</t>
        </is>
      </c>
      <c r="M122" s="16" t="inlineStr">
        <is>
          <t>A</t>
        </is>
      </c>
      <c r="N122" s="16" t="inlineStr">
        <is>
          <t>La Torre del Sol es una de las obras públicas más extrañas y potentes de Japón. Clasificación v2: excelente y muy recomendable, pero no justifica por sí sola adaptar la ruta.</t>
        </is>
      </c>
      <c r="O122" s="16" t="inlineStr">
        <is>
          <t>Parque del Expo 1970 con escultura de Tarō Okamoto y museos.</t>
        </is>
      </c>
      <c r="P122" s="16" t="inlineStr">
        <is>
          <t>El interior restaurado convierte una imagen retrofuturista en experiencia espacial.</t>
        </is>
      </c>
      <c r="Q122" s="16" t="inlineStr">
        <is>
          <t>Parque del Expo 1970 con escultura de Tarō Okamoto y museos.</t>
        </is>
      </c>
      <c r="R122" s="16" t="inlineStr">
        <is>
          <t>Medio día</t>
        </is>
      </c>
      <c r="S122" s="16" t="inlineStr">
        <is>
          <t>Mañana</t>
        </is>
      </c>
      <c r="T122" s="16" t="inlineStr">
        <is>
          <t>Sakura, otoño y todo el año</t>
        </is>
      </c>
      <c r="U122" s="16" t="inlineStr">
        <is>
          <t>Medio</t>
        </is>
      </c>
      <c r="V122" s="16" t="inlineStr">
        <is>
          <t>Medio</t>
        </is>
      </c>
      <c r="W122" s="89" t="n">
        <v>260</v>
      </c>
      <c r="X122" s="89" t="n">
        <v>1200</v>
      </c>
      <c r="Y122" s="89">
        <f>W122*'Configuración'!$B$4</f>
        <v/>
      </c>
      <c r="Z122" s="89">
        <f>X122*'Configuración'!$B$4</f>
        <v/>
      </c>
      <c r="AA122" s="16" t="inlineStr">
        <is>
          <t>Sí</t>
        </is>
      </c>
      <c r="AB122" s="16" t="inlineStr">
        <is>
          <t>Semanas para interior de la torre</t>
        </is>
      </c>
      <c r="AC122" s="16" t="inlineStr">
        <is>
          <t>09:30–17:00 aprox.</t>
        </is>
      </c>
      <c r="AD122" s="16" t="inlineStr">
        <is>
          <t>Miércoles; verificar</t>
        </is>
      </c>
      <c r="AE122" s="16" t="inlineStr">
        <is>
          <t>Osaka Monorail Bampaku-kinen-koen</t>
        </is>
      </c>
      <c r="AF122" s="16" t="inlineStr">
        <is>
          <t>Buena en áreas principales; confirmar detalles con el recinto</t>
        </is>
      </c>
      <c r="AG122" s="90" t="n">
        <v>34.8104</v>
      </c>
      <c r="AH122" s="90" t="n">
        <v>135.5329</v>
      </c>
      <c r="AI122" s="16" t="inlineStr">
        <is>
          <t>https://www.expo70-park.jp/languages/english/</t>
        </is>
      </c>
      <c r="AJ122" s="16" t="inlineStr">
        <is>
          <t>Cambiante</t>
        </is>
      </c>
      <c r="AK122" s="16" t="inlineStr">
        <is>
          <t>UNIQUE</t>
        </is>
      </c>
      <c r="AL122" s="16" t="inlineStr">
        <is>
          <t>arte, arquitectura, fotografía, historia</t>
        </is>
      </c>
      <c r="AM122" s="91" t="n">
        <v>5</v>
      </c>
      <c r="AN122" s="91" t="n">
        <v>5</v>
      </c>
      <c r="AO122" s="91" t="n">
        <v>5</v>
      </c>
      <c r="AP122" s="91" t="n">
        <v>2</v>
      </c>
      <c r="AQ122" s="16" t="inlineStr">
        <is>
          <t>Imagen ideal: el interior restaurado convierte una imagen retrofuturista en experiencia espacial. con luz de mañana, sin multitudes dominando el encuadre.</t>
        </is>
      </c>
      <c r="AR122" s="16" t="inlineStr">
        <is>
          <t>Church of the Light (~24 min a pie)</t>
        </is>
      </c>
      <c r="AS122" s="16" t="inlineStr">
        <is>
          <t>Lugar conocido pero excelente</t>
        </is>
      </c>
      <c r="AT122" s="16" t="str"/>
      <c r="AU122" s="16" t="inlineStr">
        <is>
          <t>https://www.google.com/maps/search/?api=1&amp;query=Expo%20%E2%80%9970%20Park%20%2B%20Tower%20of%20the%20Sun%2C%20Suita%2C%20Japan</t>
        </is>
      </c>
      <c r="AV122" s="16" t="inlineStr">
        <is>
          <t>2026-09-01</t>
        </is>
      </c>
      <c r="AW122" s="16" t="inlineStr">
        <is>
          <t>ABIERTO; FLORACIÓN NO GARANTIZADA</t>
        </is>
      </c>
      <c r="AX122" s="16" t="inlineStr">
        <is>
          <t>En Japón central la floración plena suele ser más tardía; finales de marzo es incierto.</t>
        </is>
      </c>
      <c r="AY122" s="16" t="inlineStr">
        <is>
          <t>No basar la visita en sakura hasta el pronóstico 2027.</t>
        </is>
      </c>
    </row>
    <row r="123" ht="66" customHeight="1">
      <c r="A123" s="16" t="inlineStr">
        <is>
          <t>JP-122</t>
        </is>
      </c>
      <c r="B123" s="16" t="inlineStr">
        <is>
          <t>Osaka</t>
        </is>
      </c>
      <c r="C123" s="16" t="inlineStr">
        <is>
          <t>Kansai</t>
        </is>
      </c>
      <c r="D123" s="16" t="inlineStr">
        <is>
          <t>Osaka</t>
        </is>
      </c>
      <c r="E123" s="16" t="inlineStr">
        <is>
          <t>Minoh</t>
        </is>
      </c>
      <c r="F123" s="16" t="inlineStr">
        <is>
          <t>Minoh</t>
        </is>
      </c>
      <c r="G123" s="16" t="inlineStr">
        <is>
          <t>North Osaka</t>
        </is>
      </c>
      <c r="H123" s="16" t="inlineStr">
        <is>
          <t>Minoh Falls</t>
        </is>
      </c>
      <c r="I123" s="16" t="inlineStr">
        <is>
          <t>箕面大滝</t>
        </is>
      </c>
      <c r="J123" s="16" t="inlineStr">
        <is>
          <t>Minoh Falls</t>
        </is>
      </c>
      <c r="K123" s="16" t="inlineStr">
        <is>
          <t>🌿 Naturaleza</t>
        </is>
      </c>
      <c r="L123" s="16" t="inlineStr">
        <is>
          <t>cascada/sendero</t>
        </is>
      </c>
      <c r="M123" s="16" t="inlineStr">
        <is>
          <t>A</t>
        </is>
      </c>
      <c r="N123" s="16" t="inlineStr">
        <is>
          <t>Escape natural muy accesible con un sendero agradable desde la estación.</t>
        </is>
      </c>
      <c r="O123" s="16" t="inlineStr">
        <is>
          <t>Cascada de 33 m al final de un valle boscoso.</t>
        </is>
      </c>
      <c r="P123" s="16" t="inlineStr">
        <is>
          <t>La transición ciudad-bosque ocurre sin logística compleja.</t>
        </is>
      </c>
      <c r="Q123" s="16" t="inlineStr">
        <is>
          <t>Cascada de 33 m al final de un valle boscoso.</t>
        </is>
      </c>
      <c r="R123" s="16" t="inlineStr">
        <is>
          <t>3–5 h</t>
        </is>
      </c>
      <c r="S123" s="16" t="inlineStr">
        <is>
          <t>Mañana</t>
        </is>
      </c>
      <c r="T123" s="16" t="inlineStr">
        <is>
          <t>Otoño</t>
        </is>
      </c>
      <c r="U123" s="16" t="inlineStr">
        <is>
          <t>Alto</t>
        </is>
      </c>
      <c r="V123" s="16" t="inlineStr">
        <is>
          <t>Medio</t>
        </is>
      </c>
      <c r="W123" s="89" t="n">
        <v>0</v>
      </c>
      <c r="X123" s="89" t="n">
        <v>0</v>
      </c>
      <c r="Y123" s="89">
        <f>W123*'Configuración'!$B$4</f>
        <v/>
      </c>
      <c r="Z123" s="89">
        <f>X123*'Configuración'!$B$4</f>
        <v/>
      </c>
      <c r="AA123" s="16" t="inlineStr">
        <is>
          <t>No</t>
        </is>
      </c>
      <c r="AB123" s="16" t="inlineStr">
        <is>
          <t>—</t>
        </is>
      </c>
      <c r="AC123" s="16" t="inlineStr">
        <is>
          <t>Sendero abierto; revisar obras</t>
        </is>
      </c>
      <c r="AD123" s="16" t="inlineStr">
        <is>
          <t>Clima/mantenimiento</t>
        </is>
      </c>
      <c r="AE123" s="16" t="inlineStr">
        <is>
          <t>Hankyu Minoh</t>
        </is>
      </c>
      <c r="AF123" s="16" t="inlineStr">
        <is>
          <t>Parcial o baja; terreno irregular y condiciones naturales</t>
        </is>
      </c>
      <c r="AG123" s="90" t="n">
        <v>34.8531</v>
      </c>
      <c r="AH123" s="90" t="n">
        <v>135.471</v>
      </c>
      <c r="AI123" s="16" t="inlineStr">
        <is>
          <t>https://osaka-info.jp/en/spot/minoh-park/</t>
        </is>
      </c>
      <c r="AJ123" s="16" t="inlineStr">
        <is>
          <t>Cambiante</t>
        </is>
      </c>
      <c r="AK123" s="16" t="inlineStr">
        <is>
          <t>NATURE</t>
        </is>
      </c>
      <c r="AL123" s="16" t="inlineStr">
        <is>
          <t>pareja, senderismo, naturaleza</t>
        </is>
      </c>
      <c r="AM123" s="91" t="n">
        <v>5</v>
      </c>
      <c r="AN123" s="91" t="n">
        <v>4</v>
      </c>
      <c r="AO123" s="91" t="n">
        <v>5</v>
      </c>
      <c r="AP123" s="91" t="n">
        <v>3</v>
      </c>
      <c r="AQ123" s="16" t="inlineStr">
        <is>
          <t>Imagen ideal: la transición ciudad-bosque ocurre sin logística compleja. con luz de mañana, sin multitudes dominando el encuadre.</t>
        </is>
      </c>
      <c r="AR123" s="16" t="str"/>
      <c r="AS123" s="16" t="inlineStr">
        <is>
          <t>Lugar conocido pero excelente</t>
        </is>
      </c>
      <c r="AT123" s="16" t="str"/>
      <c r="AU123" s="16" t="inlineStr">
        <is>
          <t>https://www.google.com/maps/search/?api=1&amp;query=Minoh%20Falls%2C%20Minoh%2C%20Japan</t>
        </is>
      </c>
      <c r="AV123" s="16" t="inlineStr">
        <is>
          <t>2026-09-01</t>
        </is>
      </c>
      <c r="AW123" s="16" t="inlineStr">
        <is>
          <t>RIESGO ESTACIONAL</t>
        </is>
      </c>
      <c r="AX123" s="16" t="inlineStr">
        <is>
          <t>Posibles nieve, hielo, barro, viento, cierres y menos horas de luz.</t>
        </is>
      </c>
      <c r="AY123" s="16" t="inlineStr">
        <is>
          <t>Revisar clima, sendero y último transporte 24–48 h antes.</t>
        </is>
      </c>
    </row>
    <row r="124" ht="66" customHeight="1">
      <c r="A124" s="16" t="inlineStr">
        <is>
          <t>JP-123</t>
        </is>
      </c>
      <c r="B124" s="16" t="inlineStr">
        <is>
          <t>Osaka</t>
        </is>
      </c>
      <c r="C124" s="16" t="inlineStr">
        <is>
          <t>Kansai</t>
        </is>
      </c>
      <c r="D124" s="16" t="inlineStr">
        <is>
          <t>Osaka</t>
        </is>
      </c>
      <c r="E124" s="16" t="inlineStr">
        <is>
          <t>Ibaraki</t>
        </is>
      </c>
      <c r="F124" s="16" t="inlineStr">
        <is>
          <t>Ibaraki</t>
        </is>
      </c>
      <c r="G124" s="16" t="inlineStr">
        <is>
          <t>North Osaka</t>
        </is>
      </c>
      <c r="H124" s="16" t="inlineStr">
        <is>
          <t>Church of the Light</t>
        </is>
      </c>
      <c r="I124" s="16" t="inlineStr">
        <is>
          <t>光の教会</t>
        </is>
      </c>
      <c r="J124" s="16" t="inlineStr">
        <is>
          <t>Church of the Light</t>
        </is>
      </c>
      <c r="K124" s="16" t="inlineStr">
        <is>
          <t>🏛️ Arquitectura</t>
        </is>
      </c>
      <c r="L124" s="16" t="inlineStr">
        <is>
          <t>iglesia/arquitectura</t>
        </is>
      </c>
      <c r="M124" s="16" t="inlineStr">
        <is>
          <t>B</t>
        </is>
      </c>
      <c r="N124" s="16" t="inlineStr">
        <is>
          <t>Obra esencial de Tadao Ando, pero el acceso público es limitado y debe confirmarse. Clasificación v2: recomendable si encaja; su valor depende más de interés, saturación o logística.</t>
        </is>
      </c>
      <c r="O124" s="16" t="inlineStr">
        <is>
          <t>Capilla de hormigón atravesada por una cruz de luz.</t>
        </is>
      </c>
      <c r="P124" s="16" t="inlineStr">
        <is>
          <t>El vacío y la luz son el edificio; la experiencia depende del horario solar.</t>
        </is>
      </c>
      <c r="Q124" s="16" t="inlineStr">
        <is>
          <t>Capilla de hormigón atravesada por una cruz de luz.</t>
        </is>
      </c>
      <c r="R124" s="16" t="inlineStr">
        <is>
          <t>45–75 min</t>
        </is>
      </c>
      <c r="S124" s="16" t="inlineStr">
        <is>
          <t>Mañana</t>
        </is>
      </c>
      <c r="T124" s="16" t="inlineStr">
        <is>
          <t>Todo el año</t>
        </is>
      </c>
      <c r="U124" s="16" t="inlineStr">
        <is>
          <t>Bajo</t>
        </is>
      </c>
      <c r="V124" s="16" t="inlineStr">
        <is>
          <t>Bajo</t>
        </is>
      </c>
      <c r="W124" s="89" t="n">
        <v>0</v>
      </c>
      <c r="X124" s="89" t="n">
        <v>0</v>
      </c>
      <c r="Y124" s="89">
        <f>W124*'Configuración'!$B$4</f>
        <v/>
      </c>
      <c r="Z124" s="89">
        <f>X124*'Configuración'!$B$4</f>
        <v/>
      </c>
      <c r="AA124" s="16" t="inlineStr">
        <is>
          <t>Sí</t>
        </is>
      </c>
      <c r="AB124" s="16" t="inlineStr">
        <is>
          <t>Consultar con mucha anticipación</t>
        </is>
      </c>
      <c r="AC124" s="16" t="inlineStr">
        <is>
          <t>Visitas muy limitadas</t>
        </is>
      </c>
      <c r="AD124" s="16" t="inlineStr">
        <is>
          <t>Culto/eventos</t>
        </is>
      </c>
      <c r="AE124" s="16" t="inlineStr">
        <is>
          <t>Ibaraki-shi + bus/taxi</t>
        </is>
      </c>
      <c r="AF124" s="16" t="inlineStr">
        <is>
          <t>Buena en áreas principales; confirmar detalles con el recinto</t>
        </is>
      </c>
      <c r="AG124" s="90" t="n">
        <v>34.8185</v>
      </c>
      <c r="AH124" s="90" t="n">
        <v>135.5488</v>
      </c>
      <c r="AI124" s="16" t="inlineStr">
        <is>
          <t>http://ibaraki-kasugaoka-church.jp/e-index.html</t>
        </is>
      </c>
      <c r="AJ124" s="16" t="inlineStr">
        <is>
          <t>Cambiante</t>
        </is>
      </c>
      <c r="AK124" s="16" t="inlineStr">
        <is>
          <t>ARCHITECTURE / RESERVE</t>
        </is>
      </c>
      <c r="AL124" s="16" t="inlineStr">
        <is>
          <t>arquitectura, diseño, fotografía</t>
        </is>
      </c>
      <c r="AM124" s="91" t="n">
        <v>5</v>
      </c>
      <c r="AN124" s="91" t="n">
        <v>5</v>
      </c>
      <c r="AO124" s="91" t="n">
        <v>3</v>
      </c>
      <c r="AP124" s="91" t="n">
        <v>1</v>
      </c>
      <c r="AQ124" s="16" t="inlineStr">
        <is>
          <t>Imagen ideal: el vacío y la luz son el edificio; la experiencia depende del horario solar. con luz de mañana, sin multitudes dominando el encuadre.</t>
        </is>
      </c>
      <c r="AR124" s="16" t="inlineStr">
        <is>
          <t>Expo ’70 Park + Tower of the Sun (~24 min a pie)</t>
        </is>
      </c>
      <c r="AS124" s="16" t="inlineStr">
        <is>
          <t>Hidden Gem real</t>
        </is>
      </c>
      <c r="AT124" s="16" t="str"/>
      <c r="AU124" s="16" t="inlineStr">
        <is>
          <t>https://www.google.com/maps/search/?api=1&amp;query=Church%20of%20the%20Light%2C%20Ibaraki%2C%20Japan</t>
        </is>
      </c>
      <c r="AV124" s="16" t="inlineStr">
        <is>
          <t>2026-09-01</t>
        </is>
      </c>
      <c r="AW124" s="16" t="inlineStr">
        <is>
          <t>CALENDARIO / CONDICIÓN PENDIENTE</t>
        </is>
      </c>
      <c r="AX124" s="16" t="inlineStr">
        <is>
          <t>No hay cierre específico confirmado para la ventana, pero horarios o acceso pueden variar.</t>
        </is>
      </c>
      <c r="AY124" s="16" t="inlineStr">
        <is>
          <t>Reconfirmar en la web oficial al fijar fechas.</t>
        </is>
      </c>
    </row>
    <row r="125" ht="66" customHeight="1">
      <c r="A125" s="16" t="inlineStr">
        <is>
          <t>JP-124</t>
        </is>
      </c>
      <c r="B125" s="16" t="inlineStr">
        <is>
          <t>Osaka</t>
        </is>
      </c>
      <c r="C125" s="16" t="inlineStr">
        <is>
          <t>Kansai</t>
        </is>
      </c>
      <c r="D125" s="16" t="inlineStr">
        <is>
          <t>Osaka</t>
        </is>
      </c>
      <c r="E125" s="16" t="inlineStr">
        <is>
          <t>Osaka</t>
        </is>
      </c>
      <c r="F125" s="16" t="inlineStr">
        <is>
          <t>Tempozan</t>
        </is>
      </c>
      <c r="G125" s="16" t="inlineStr">
        <is>
          <t>Osaka Bay</t>
        </is>
      </c>
      <c r="H125" s="16" t="inlineStr">
        <is>
          <t>Osaka Aquarium Kaiyukan</t>
        </is>
      </c>
      <c r="I125" s="16" t="inlineStr">
        <is>
          <t>海遊館</t>
        </is>
      </c>
      <c r="J125" s="16" t="inlineStr">
        <is>
          <t>Osaka Aquarium Kaiyukan</t>
        </is>
      </c>
      <c r="K125" s="16" t="inlineStr">
        <is>
          <t>🏛️ Museos</t>
        </is>
      </c>
      <c r="L125" s="16" t="inlineStr">
        <is>
          <t>acuario</t>
        </is>
      </c>
      <c r="M125" s="16" t="inlineStr">
        <is>
          <t>A</t>
        </is>
      </c>
      <c r="N125" s="16" t="inlineStr">
        <is>
          <t>Recorrido espiral y tanque del Pacífico lo mantienen entre los mejores acuarios del mundo. Clasificación v2: excelente y muy recomendable, pero no justifica por sí sola adaptar la ruta.</t>
        </is>
      </c>
      <c r="O125" s="16" t="inlineStr">
        <is>
          <t>Acuario de gran escala organizado por ecosistemas del anillo del Pacífico.</t>
        </is>
      </c>
      <c r="P125" s="16" t="inlineStr">
        <is>
          <t>Se desciende alrededor del tanque central observando profundidades distintas.</t>
        </is>
      </c>
      <c r="Q125" s="16" t="inlineStr">
        <is>
          <t>Acuario de gran escala organizado por ecosistemas del anillo del Pacífico.</t>
        </is>
      </c>
      <c r="R125" s="16" t="inlineStr">
        <is>
          <t>3–4 h</t>
        </is>
      </c>
      <c r="S125" s="16" t="inlineStr">
        <is>
          <t>Tarde</t>
        </is>
      </c>
      <c r="T125" s="16" t="inlineStr">
        <is>
          <t>Todo el año</t>
        </is>
      </c>
      <c r="U125" s="16" t="inlineStr">
        <is>
          <t>Extremo</t>
        </is>
      </c>
      <c r="V125" s="16" t="inlineStr">
        <is>
          <t>Extremo</t>
        </is>
      </c>
      <c r="W125" s="89" t="n">
        <v>2700</v>
      </c>
      <c r="X125" s="89" t="n">
        <v>2700</v>
      </c>
      <c r="Y125" s="89">
        <f>W125*'Configuración'!$B$4</f>
        <v/>
      </c>
      <c r="Z125" s="89">
        <f>X125*'Configuración'!$B$4</f>
        <v/>
      </c>
      <c r="AA125" s="16" t="inlineStr">
        <is>
          <t>Sí</t>
        </is>
      </c>
      <c r="AB125" s="16" t="inlineStr">
        <is>
          <t>Días/semanas</t>
        </is>
      </c>
      <c r="AC125" s="16" t="inlineStr">
        <is>
          <t>Horario variable</t>
        </is>
      </c>
      <c r="AD125" s="16" t="inlineStr">
        <is>
          <t>Cierres programados</t>
        </is>
      </c>
      <c r="AE125" s="16" t="inlineStr">
        <is>
          <t>Osakako</t>
        </is>
      </c>
      <c r="AF125" s="16" t="inlineStr">
        <is>
          <t>Buena en áreas principales; confirmar detalles con el recinto</t>
        </is>
      </c>
      <c r="AG125" s="90" t="n">
        <v>34.6545</v>
      </c>
      <c r="AH125" s="90" t="n">
        <v>135.4289</v>
      </c>
      <c r="AI125" s="16" t="inlineStr">
        <is>
          <t>https://www.kaiyukan.com/language/eng/</t>
        </is>
      </c>
      <c r="AJ125" s="16" t="inlineStr">
        <is>
          <t>Cambiante</t>
        </is>
      </c>
      <c r="AK125" s="16" t="inlineStr">
        <is>
          <t>MUST SEE</t>
        </is>
      </c>
      <c r="AL125" s="16" t="inlineStr">
        <is>
          <t>pareja, fauna, lluvia, fotografía</t>
        </is>
      </c>
      <c r="AM125" s="91" t="n">
        <v>5</v>
      </c>
      <c r="AN125" s="91" t="n">
        <v>5</v>
      </c>
      <c r="AO125" s="91" t="n">
        <v>4</v>
      </c>
      <c r="AP125" s="91" t="n">
        <v>5</v>
      </c>
      <c r="AQ125" s="16" t="inlineStr">
        <is>
          <t>Imagen ideal: se desciende alrededor del tanque central observando profundidades distintas. con luz de tarde, sin multitudes dominando el encuadre.</t>
        </is>
      </c>
      <c r="AR125" s="16" t="inlineStr">
        <is>
          <t>Universal Studios Japan (~18 min a pie) | SUPER NINTENDO WORLD (~21 min a pie)</t>
        </is>
      </c>
      <c r="AS125" s="16" t="inlineStr">
        <is>
          <t>Popular / turístico</t>
        </is>
      </c>
      <c r="AT125" s="16" t="str"/>
      <c r="AU125" s="16" t="inlineStr">
        <is>
          <t>https://www.google.com/maps/search/?api=1&amp;query=Osaka%20Aquarium%20Kaiyukan%2C%20Osaka%2C%20Japan</t>
        </is>
      </c>
      <c r="AV125" s="16" t="inlineStr">
        <is>
          <t>2026-09-01</t>
        </is>
      </c>
      <c r="AW125" s="16" t="inlineStr">
        <is>
          <t>CALENDARIO / CONDICIÓN PENDIENTE</t>
        </is>
      </c>
      <c r="AX125" s="16" t="inlineStr">
        <is>
          <t>No hay cierre específico confirmado para la ventana, pero horarios o acceso pueden variar.</t>
        </is>
      </c>
      <c r="AY125" s="16" t="inlineStr">
        <is>
          <t>Reconfirmar en la web oficial al fijar fechas.</t>
        </is>
      </c>
    </row>
    <row r="126" ht="66" customHeight="1">
      <c r="A126" s="16" t="inlineStr">
        <is>
          <t>JP-125</t>
        </is>
      </c>
      <c r="B126" s="16" t="inlineStr">
        <is>
          <t>Osaka</t>
        </is>
      </c>
      <c r="C126" s="16" t="inlineStr">
        <is>
          <t>Kansai</t>
        </is>
      </c>
      <c r="D126" s="16" t="inlineStr">
        <is>
          <t>Osaka</t>
        </is>
      </c>
      <c r="E126" s="16" t="inlineStr">
        <is>
          <t>Osaka</t>
        </is>
      </c>
      <c r="F126" s="16" t="inlineStr">
        <is>
          <t>Sakurajima / Konohana</t>
        </is>
      </c>
      <c r="G126" s="16" t="inlineStr">
        <is>
          <t>Osaka Bay</t>
        </is>
      </c>
      <c r="H126" s="16" t="inlineStr">
        <is>
          <t>Universal Studios Japan</t>
        </is>
      </c>
      <c r="I126" s="16" t="inlineStr">
        <is>
          <t>ユニバーサル・スタジオ・ジャパン</t>
        </is>
      </c>
      <c r="J126" s="16" t="inlineStr">
        <is>
          <t>Universal Studios Japan</t>
        </is>
      </c>
      <c r="K126" s="16" t="inlineStr">
        <is>
          <t>🎢 Entretenimiento</t>
        </is>
      </c>
      <c r="L126" s="16" t="inlineStr">
        <is>
          <t>parque temático</t>
        </is>
      </c>
      <c r="M126" s="16" t="inlineStr">
        <is>
          <t>S</t>
        </is>
      </c>
      <c r="N126" s="16" t="inlineStr">
        <is>
          <t>La concentración de Nintendo, Harry Potter y eventos japoneses puede justificar un día completo.</t>
        </is>
      </c>
      <c r="O126" s="16" t="inlineStr">
        <is>
          <t>Parque temático de gran demanda con áreas inmersivas y atracciones.</t>
        </is>
      </c>
      <c r="P126" s="16" t="inlineStr">
        <is>
          <t>Las colaboraciones anime y Nintendo son específicas de Japón.</t>
        </is>
      </c>
      <c r="Q126" s="16" t="inlineStr">
        <is>
          <t>Parque temático de gran demanda con áreas inmersivas y atracciones.</t>
        </is>
      </c>
      <c r="R126" s="16" t="inlineStr">
        <is>
          <t>Día completo</t>
        </is>
      </c>
      <c r="S126" s="16" t="inlineStr">
        <is>
          <t>Mañana</t>
        </is>
      </c>
      <c r="T126" s="16" t="inlineStr">
        <is>
          <t>Días laborables fuera de vacaciones</t>
        </is>
      </c>
      <c r="U126" s="16" t="inlineStr">
        <is>
          <t>Extremo</t>
        </is>
      </c>
      <c r="V126" s="16" t="inlineStr">
        <is>
          <t>Extremo</t>
        </is>
      </c>
      <c r="W126" s="89" t="n">
        <v>8600</v>
      </c>
      <c r="X126" s="89" t="n">
        <v>12000</v>
      </c>
      <c r="Y126" s="89">
        <f>W126*'Configuración'!$B$4</f>
        <v/>
      </c>
      <c r="Z126" s="89">
        <f>X126*'Configuración'!$B$4</f>
        <v/>
      </c>
      <c r="AA126" s="16" t="inlineStr">
        <is>
          <t>Sí</t>
        </is>
      </c>
      <c r="AB126" s="16" t="inlineStr">
        <is>
          <t>1–3 meses; Express antes</t>
        </is>
      </c>
      <c r="AC126" s="16" t="inlineStr">
        <is>
          <t>Calendario variable</t>
        </is>
      </c>
      <c r="AD126" s="16" t="inlineStr">
        <is>
          <t>Atracciones en mantenimiento</t>
        </is>
      </c>
      <c r="AE126" s="16" t="inlineStr">
        <is>
          <t>JR Universal City</t>
        </is>
      </c>
      <c r="AF126" s="16" t="inlineStr">
        <is>
          <t>Buena en áreas principales; confirmar detalles con el recinto</t>
        </is>
      </c>
      <c r="AG126" s="90" t="n">
        <v>34.6654</v>
      </c>
      <c r="AH126" s="90" t="n">
        <v>135.4323</v>
      </c>
      <c r="AI126" s="16" t="inlineStr">
        <is>
          <t>https://www.usj.co.jp/web/en/us</t>
        </is>
      </c>
      <c r="AJ126" s="16" t="inlineStr">
        <is>
          <t>Cambiante</t>
        </is>
      </c>
      <c r="AK126" s="16" t="inlineStr">
        <is>
          <t>MUST SEE / THEME PARK</t>
        </is>
      </c>
      <c r="AL126" s="16" t="inlineStr">
        <is>
          <t>pareja, videojuegos, entretenimiento</t>
        </is>
      </c>
      <c r="AM126" s="91" t="n">
        <v>5</v>
      </c>
      <c r="AN126" s="91" t="n">
        <v>5</v>
      </c>
      <c r="AO126" s="91" t="n">
        <v>3</v>
      </c>
      <c r="AP126" s="91" t="n">
        <v>5</v>
      </c>
      <c r="AQ126" s="16" t="inlineStr">
        <is>
          <t>Imagen ideal: las colaboraciones anime y nintendo son específicas de japón. con luz de mañana, sin multitudes dominando el encuadre.</t>
        </is>
      </c>
      <c r="AR126" s="16" t="inlineStr">
        <is>
          <t>SUPER NINTENDO WORLD (~4 min a pie) | Osaka Aquarium Kaiyukan (~18 min a pie)</t>
        </is>
      </c>
      <c r="AS126" s="16" t="inlineStr">
        <is>
          <t>Popular / turístico</t>
        </is>
      </c>
      <c r="AT126" s="16" t="str"/>
      <c r="AU126" s="16" t="inlineStr">
        <is>
          <t>https://www.google.com/maps/search/?api=1&amp;query=Universal%20Studios%20Japan%2C%20Osaka%2C%20Japan</t>
        </is>
      </c>
      <c r="AV126" s="16" t="inlineStr">
        <is>
          <t>2026-09-01</t>
        </is>
      </c>
      <c r="AW126" s="16" t="inlineStr">
        <is>
          <t>MANTENIMIENTO 2027 PENDIENTE</t>
        </is>
      </c>
      <c r="AX126" s="16" t="inlineStr">
        <is>
          <t>El 25.º aniversario continúa hasta 30 mar 2027; cierres de atracciones aún no publicados.</t>
        </is>
      </c>
      <c r="AY126" s="16" t="inlineStr">
        <is>
          <t>Revisar calendario de cierre antes de comprar.</t>
        </is>
      </c>
    </row>
    <row r="127" ht="66" customHeight="1">
      <c r="A127" s="16" t="inlineStr">
        <is>
          <t>JP-126</t>
        </is>
      </c>
      <c r="B127" s="16" t="inlineStr">
        <is>
          <t>Osaka</t>
        </is>
      </c>
      <c r="C127" s="16" t="inlineStr">
        <is>
          <t>Kansai</t>
        </is>
      </c>
      <c r="D127" s="16" t="inlineStr">
        <is>
          <t>Osaka</t>
        </is>
      </c>
      <c r="E127" s="16" t="inlineStr">
        <is>
          <t>Osaka</t>
        </is>
      </c>
      <c r="F127" s="16" t="inlineStr">
        <is>
          <t>Yumeshima</t>
        </is>
      </c>
      <c r="G127" s="16" t="inlineStr">
        <is>
          <t>Osaka Bay</t>
        </is>
      </c>
      <c r="H127" s="16" t="inlineStr">
        <is>
          <t>SUPER NINTENDO WORLD</t>
        </is>
      </c>
      <c r="I127" s="16" t="inlineStr">
        <is>
          <t>スーパー・ニンテンドー・ワールド</t>
        </is>
      </c>
      <c r="J127" s="16" t="inlineStr">
        <is>
          <t>SUPER NINTENDO WORLD</t>
        </is>
      </c>
      <c r="K127" s="16" t="inlineStr">
        <is>
          <t>🎮 Videojuegos</t>
        </is>
      </c>
      <c r="L127" s="16" t="inlineStr">
        <is>
          <t>área temática</t>
        </is>
      </c>
      <c r="M127" s="16" t="inlineStr">
        <is>
          <t>S</t>
        </is>
      </c>
      <c r="N127" s="16" t="inlineStr">
        <is>
          <t>La mejor recreación física del universo Mario; prioridad para amantes de videojuegos.</t>
        </is>
      </c>
      <c r="O127" s="16" t="inlineStr">
        <is>
          <t>Área dentro de USJ con Mario Kart, Donkey Kong y juego mediante Power-Up Band.</t>
        </is>
      </c>
      <c r="P127" s="16" t="inlineStr">
        <is>
          <t>El espacio funciona como nivel de videojuego tridimensional.</t>
        </is>
      </c>
      <c r="Q127" s="16" t="inlineStr">
        <is>
          <t>Área dentro de USJ con Mario Kart, Donkey Kong y juego mediante Power-Up Band.</t>
        </is>
      </c>
      <c r="R127" s="16" t="inlineStr">
        <is>
          <t>Medio día dentro de USJ</t>
        </is>
      </c>
      <c r="S127" s="16" t="inlineStr">
        <is>
          <t>Mañana</t>
        </is>
      </c>
      <c r="T127" s="16" t="inlineStr">
        <is>
          <t>Todo el año</t>
        </is>
      </c>
      <c r="U127" s="16" t="inlineStr">
        <is>
          <t>Extremo</t>
        </is>
      </c>
      <c r="V127" s="16" t="inlineStr">
        <is>
          <t>Extremo</t>
        </is>
      </c>
      <c r="W127" s="89" t="n">
        <v>0</v>
      </c>
      <c r="X127" s="89" t="n">
        <v>10000</v>
      </c>
      <c r="Y127" s="89">
        <f>W127*'Configuración'!$B$4</f>
        <v/>
      </c>
      <c r="Z127" s="89">
        <f>X127*'Configuración'!$B$4</f>
        <v/>
      </c>
      <c r="AA127" s="16" t="inlineStr">
        <is>
          <t>Sí</t>
        </is>
      </c>
      <c r="AB127" s="16" t="inlineStr">
        <is>
          <t>App obligatoria para timed entry desde 2026; Express opcional</t>
        </is>
      </c>
      <c r="AC127" s="16" t="inlineStr">
        <is>
          <t>Según USJ</t>
        </is>
      </c>
      <c r="AD127" s="16" t="inlineStr">
        <is>
          <t>Mantenimiento programado</t>
        </is>
      </c>
      <c r="AE127" s="16" t="inlineStr">
        <is>
          <t>Dentro de USJ</t>
        </is>
      </c>
      <c r="AF127" s="16" t="inlineStr">
        <is>
          <t>Buena en áreas principales; confirmar detalles con el recinto</t>
        </is>
      </c>
      <c r="AG127" s="90" t="n">
        <v>34.6677</v>
      </c>
      <c r="AH127" s="90" t="n">
        <v>135.4316</v>
      </c>
      <c r="AI127" s="16" t="inlineStr">
        <is>
          <t>https://www.usj.co.jp/web/en/us/areas/super-nintendo-world</t>
        </is>
      </c>
      <c r="AJ127" s="16" t="inlineStr">
        <is>
          <t>Cambiante</t>
        </is>
      </c>
      <c r="AK127" s="16" t="inlineStr">
        <is>
          <t>MUST SEE / GAMING</t>
        </is>
      </c>
      <c r="AL127" s="16" t="inlineStr">
        <is>
          <t>videojuegos, fotografía, entretenimiento</t>
        </is>
      </c>
      <c r="AM127" s="91" t="n">
        <v>5</v>
      </c>
      <c r="AN127" s="91" t="n">
        <v>5</v>
      </c>
      <c r="AO127" s="91" t="n">
        <v>3</v>
      </c>
      <c r="AP127" s="91" t="n">
        <v>5</v>
      </c>
      <c r="AQ127" s="16" t="inlineStr">
        <is>
          <t>Imagen ideal: el espacio funciona como nivel de videojuego tridimensional. con luz de mañana, sin multitudes dominando el encuadre.</t>
        </is>
      </c>
      <c r="AR127" s="16" t="inlineStr">
        <is>
          <t>Universal Studios Japan (~4 min a pie) | Osaka Aquarium Kaiyukan (~21 min a pie)</t>
        </is>
      </c>
      <c r="AS127" s="16" t="inlineStr">
        <is>
          <t>Popular / turístico</t>
        </is>
      </c>
      <c r="AT127" s="16" t="str"/>
      <c r="AU127" s="16" t="inlineStr">
        <is>
          <t>https://www.google.com/maps/search/?api=1&amp;query=SUPER%20NINTENDO%20WORLD%2C%20Osaka%2C%20Japan</t>
        </is>
      </c>
      <c r="AV127" s="16" t="inlineStr">
        <is>
          <t>2026-09-01</t>
        </is>
      </c>
      <c r="AW127" s="16" t="inlineStr">
        <is>
          <t>ABIERTO PREVISTO</t>
        </is>
      </c>
      <c r="AX127" s="16" t="inlineStr">
        <is>
          <t>La celebración del 5.º aniversario termina 11 ene 2027; no estará activa en febrero–marzo.</t>
        </is>
      </c>
      <c r="AY127" s="16" t="inlineStr">
        <is>
          <t>Usar app y valorar Express/timed entry.</t>
        </is>
      </c>
    </row>
    <row r="128" ht="66" customHeight="1">
      <c r="A128" s="16" t="inlineStr">
        <is>
          <t>JP-127</t>
        </is>
      </c>
      <c r="B128" s="16" t="inlineStr">
        <is>
          <t>Osaka</t>
        </is>
      </c>
      <c r="C128" s="16" t="inlineStr">
        <is>
          <t>Kansai</t>
        </is>
      </c>
      <c r="D128" s="16" t="inlineStr">
        <is>
          <t>Osaka</t>
        </is>
      </c>
      <c r="E128" s="16" t="inlineStr">
        <is>
          <t>Sakai</t>
        </is>
      </c>
      <c r="F128" s="16" t="inlineStr">
        <is>
          <t>Sakai</t>
        </is>
      </c>
      <c r="G128" s="16" t="inlineStr">
        <is>
          <t>Sakai</t>
        </is>
      </c>
      <c r="H128" s="16" t="inlineStr">
        <is>
          <t>Sakai traditional knife experience</t>
        </is>
      </c>
      <c r="I128" s="16" t="inlineStr">
        <is>
          <t>堺打刃物体験</t>
        </is>
      </c>
      <c r="J128" s="16" t="inlineStr">
        <is>
          <t>Sakai traditional knife experience</t>
        </is>
      </c>
      <c r="K128" s="16" t="inlineStr">
        <is>
          <t>🎭 Cultura tradicional</t>
        </is>
      </c>
      <c r="L128" s="16" t="inlineStr">
        <is>
          <t>taller/compra</t>
        </is>
      </c>
      <c r="M128" s="16" t="inlineStr">
        <is>
          <t>A</t>
        </is>
      </c>
      <c r="N128" s="16" t="inlineStr">
        <is>
          <t>Experiencia artesanal vinculada a una industria real, no a souvenir genérico.</t>
        </is>
      </c>
      <c r="O128" s="16" t="inlineStr">
        <is>
          <t>Demostraciones, talleres y comercios de cuchillos forjados en Sakai.</t>
        </is>
      </c>
      <c r="P128" s="16" t="inlineStr">
        <is>
          <t>Conecta gastronomía japonesa con metalurgia y aprendizaje práctico.</t>
        </is>
      </c>
      <c r="Q128" s="16" t="inlineStr">
        <is>
          <t>Demostraciones, talleres y comercios de cuchillos forjados en Sakai.</t>
        </is>
      </c>
      <c r="R128" s="16" t="inlineStr">
        <is>
          <t>2–4 h</t>
        </is>
      </c>
      <c r="S128" s="16" t="inlineStr">
        <is>
          <t>Tarde</t>
        </is>
      </c>
      <c r="T128" s="16" t="inlineStr">
        <is>
          <t>Días laborables</t>
        </is>
      </c>
      <c r="U128" s="16" t="inlineStr">
        <is>
          <t>Bajo</t>
        </is>
      </c>
      <c r="V128" s="16" t="inlineStr">
        <is>
          <t>Bajo</t>
        </is>
      </c>
      <c r="W128" s="89" t="n">
        <v>0</v>
      </c>
      <c r="X128" s="89" t="n">
        <v>15000</v>
      </c>
      <c r="Y128" s="89">
        <f>W128*'Configuración'!$B$4</f>
        <v/>
      </c>
      <c r="Z128" s="89">
        <f>X128*'Configuración'!$B$4</f>
        <v/>
      </c>
      <c r="AA128" s="16" t="inlineStr">
        <is>
          <t>Recomendable</t>
        </is>
      </c>
      <c r="AB128" s="16" t="inlineStr">
        <is>
          <t>Días/semanas para taller</t>
        </is>
      </c>
      <c r="AC128" s="16" t="inlineStr">
        <is>
          <t>Según taller</t>
        </is>
      </c>
      <c r="AD128" s="16" t="inlineStr">
        <is>
          <t>Según taller</t>
        </is>
      </c>
      <c r="AE128" s="16" t="inlineStr">
        <is>
          <t>Nankai Sakai / Sakaihigashi</t>
        </is>
      </c>
      <c r="AF128" s="16" t="inlineStr">
        <is>
          <t>Buena en áreas principales; confirmar detalles con el recinto</t>
        </is>
      </c>
      <c r="AG128" s="90" t="n">
        <v>34.5733</v>
      </c>
      <c r="AH128" s="90" t="n">
        <v>135.4827</v>
      </c>
      <c r="AI128" s="16" t="inlineStr">
        <is>
          <t>https://www.sakai-tcb.or.jp/en/</t>
        </is>
      </c>
      <c r="AJ128" s="16" t="inlineStr">
        <is>
          <t>Cambiante</t>
        </is>
      </c>
      <c r="AK128" s="16" t="inlineStr">
        <is>
          <t>HIDDEN GEM / CRAFT</t>
        </is>
      </c>
      <c r="AL128" s="16" t="inlineStr">
        <is>
          <t>comida, artesanía, compras</t>
        </is>
      </c>
      <c r="AM128" s="91" t="n">
        <v>4</v>
      </c>
      <c r="AN128" s="91" t="n">
        <v>5</v>
      </c>
      <c r="AO128" s="91" t="n">
        <v>4</v>
      </c>
      <c r="AP128" s="91" t="n">
        <v>1</v>
      </c>
      <c r="AQ128" s="16" t="inlineStr">
        <is>
          <t>Imagen ideal: conecta gastronomía japonesa con metalurgia y aprendizaje práctico. con luz de tarde, sin multitudes dominando el encuadre.</t>
        </is>
      </c>
      <c r="AR128" s="16" t="str"/>
      <c r="AS128" s="16" t="inlineStr">
        <is>
          <t>Hidden Gem real</t>
        </is>
      </c>
      <c r="AT128" s="16" t="str"/>
      <c r="AU128" s="16" t="inlineStr">
        <is>
          <t>https://www.google.com/maps/search/?api=1&amp;query=Sakai%20traditional%20knife%20experience%2C%20Sakai%2C%20Japan</t>
        </is>
      </c>
      <c r="AV128" s="16" t="inlineStr">
        <is>
          <t>2026-09-01</t>
        </is>
      </c>
      <c r="AW128" s="16" t="inlineStr">
        <is>
          <t>CALENDARIO / CONDICIÓN PENDIENTE</t>
        </is>
      </c>
      <c r="AX128" s="16" t="inlineStr">
        <is>
          <t>No hay cierre específico confirmado para la ventana, pero horarios o acceso pueden variar.</t>
        </is>
      </c>
      <c r="AY128" s="16" t="inlineStr">
        <is>
          <t>Reconfirmar en la web oficial al fijar fechas.</t>
        </is>
      </c>
    </row>
    <row r="129" ht="66" customHeight="1">
      <c r="A129" s="16" t="inlineStr">
        <is>
          <t>JP-128</t>
        </is>
      </c>
      <c r="B129" s="16" t="inlineStr">
        <is>
          <t>Osaka</t>
        </is>
      </c>
      <c r="C129" s="16" t="inlineStr">
        <is>
          <t>Kansai</t>
        </is>
      </c>
      <c r="D129" s="16" t="inlineStr">
        <is>
          <t>Osaka</t>
        </is>
      </c>
      <c r="E129" s="16" t="inlineStr">
        <is>
          <t>Kishiwada</t>
        </is>
      </c>
      <c r="F129" s="16" t="inlineStr">
        <is>
          <t>Kishiwada</t>
        </is>
      </c>
      <c r="G129" s="16" t="inlineStr">
        <is>
          <t>South Osaka</t>
        </is>
      </c>
      <c r="H129" s="16" t="inlineStr">
        <is>
          <t>Kishiwada Castle Hachijin Garden</t>
        </is>
      </c>
      <c r="I129" s="16" t="inlineStr">
        <is>
          <t>岸和田城八陣の庭</t>
        </is>
      </c>
      <c r="J129" s="16" t="inlineStr">
        <is>
          <t>Kishiwada Castle Hachijin Garden</t>
        </is>
      </c>
      <c r="K129" s="16" t="inlineStr">
        <is>
          <t>🌸 Jardines y paisajes</t>
        </is>
      </c>
      <c r="L129" s="16" t="inlineStr">
        <is>
          <t>castillo/jardín</t>
        </is>
      </c>
      <c r="M129" s="16" t="inlineStr">
        <is>
          <t>A</t>
        </is>
      </c>
      <c r="N129" s="16" t="inlineStr">
        <is>
          <t>Jardín seco moderno de Mirei Shigemori casi ignorado por turismo internacional.</t>
        </is>
      </c>
      <c r="O129" s="16" t="inlineStr">
        <is>
          <t>Castillo compacto con jardín abstracto diseñado en 1953.</t>
        </is>
      </c>
      <c r="P129" s="16" t="inlineStr">
        <is>
          <t>La geometría se comprende mejor desde la torre y a ras de suelo.</t>
        </is>
      </c>
      <c r="Q129" s="16" t="inlineStr">
        <is>
          <t>Castillo compacto con jardín abstracto diseñado en 1953.</t>
        </is>
      </c>
      <c r="R129" s="16" t="inlineStr">
        <is>
          <t>1.5–2.5 h</t>
        </is>
      </c>
      <c r="S129" s="16" t="inlineStr">
        <is>
          <t>Mañana</t>
        </is>
      </c>
      <c r="T129" s="16" t="inlineStr">
        <is>
          <t>Todo el año</t>
        </is>
      </c>
      <c r="U129" s="16" t="inlineStr">
        <is>
          <t>Bajo</t>
        </is>
      </c>
      <c r="V129" s="16" t="inlineStr">
        <is>
          <t>Bajo</t>
        </is>
      </c>
      <c r="W129" s="89" t="n">
        <v>300</v>
      </c>
      <c r="X129" s="89" t="n">
        <v>300</v>
      </c>
      <c r="Y129" s="89">
        <f>W129*'Configuración'!$B$4</f>
        <v/>
      </c>
      <c r="Z129" s="89">
        <f>X129*'Configuración'!$B$4</f>
        <v/>
      </c>
      <c r="AA129" s="16" t="inlineStr">
        <is>
          <t>No</t>
        </is>
      </c>
      <c r="AB129" s="16" t="inlineStr">
        <is>
          <t>—</t>
        </is>
      </c>
      <c r="AC129" s="16" t="inlineStr">
        <is>
          <t>10:00–17:00 aprox.</t>
        </is>
      </c>
      <c r="AD129" s="16" t="inlineStr">
        <is>
          <t>Lunes; verificar</t>
        </is>
      </c>
      <c r="AE129" s="16" t="inlineStr">
        <is>
          <t>Nankai Kishiwada / Takojizo</t>
        </is>
      </c>
      <c r="AF129" s="16" t="inlineStr">
        <is>
          <t>Parcial; pueden existir escalones, grava o edificios sin elevador</t>
        </is>
      </c>
      <c r="AG129" s="90" t="n">
        <v>34.4584</v>
      </c>
      <c r="AH129" s="90" t="n">
        <v>135.3709</v>
      </c>
      <c r="AI129" s="16" t="inlineStr">
        <is>
          <t>https://osaka-info.jp/en/osaka/basic/hidden-osaka/</t>
        </is>
      </c>
      <c r="AJ129" s="16" t="inlineStr">
        <is>
          <t>Cambiante</t>
        </is>
      </c>
      <c r="AK129" s="16" t="inlineStr">
        <is>
          <t>HIDDEN GEM</t>
        </is>
      </c>
      <c r="AL129" s="16" t="inlineStr">
        <is>
          <t>arquitectura, jardines, fotografía</t>
        </is>
      </c>
      <c r="AM129" s="91" t="n">
        <v>5</v>
      </c>
      <c r="AN129" s="91" t="n">
        <v>5</v>
      </c>
      <c r="AO129" s="91" t="n">
        <v>5</v>
      </c>
      <c r="AP129" s="91" t="n">
        <v>1</v>
      </c>
      <c r="AQ129" s="16" t="inlineStr">
        <is>
          <t>Imagen ideal: la geometría se comprende mejor desde la torre y a ras de suelo. con luz de mañana, sin multitudes dominando el encuadre.</t>
        </is>
      </c>
      <c r="AR129" s="16" t="str"/>
      <c r="AS129" s="16" t="inlineStr">
        <is>
          <t>Hidden Gem real</t>
        </is>
      </c>
      <c r="AT129" s="16" t="str"/>
      <c r="AU129" s="16" t="inlineStr">
        <is>
          <t>https://www.google.com/maps/search/?api=1&amp;query=Kishiwada%20Castle%20Hachijin%20Garden%2C%20Kishiwada%2C%20Japan</t>
        </is>
      </c>
      <c r="AV129" s="16" t="inlineStr">
        <is>
          <t>2026-09-01</t>
        </is>
      </c>
      <c r="AW129" s="16" t="inlineStr">
        <is>
          <t>CALENDARIO / CONDICIÓN PENDIENTE</t>
        </is>
      </c>
      <c r="AX129" s="16" t="inlineStr">
        <is>
          <t>No hay cierre específico confirmado para la ventana, pero horarios o acceso pueden variar.</t>
        </is>
      </c>
      <c r="AY129" s="16" t="inlineStr">
        <is>
          <t>Reconfirmar en la web oficial al fijar fechas.</t>
        </is>
      </c>
    </row>
    <row r="130" ht="66" customHeight="1">
      <c r="A130" s="16" t="inlineStr">
        <is>
          <t>JP-129</t>
        </is>
      </c>
      <c r="B130" s="16" t="inlineStr">
        <is>
          <t>Osaka</t>
        </is>
      </c>
      <c r="C130" s="16" t="inlineStr">
        <is>
          <t>Kansai</t>
        </is>
      </c>
      <c r="D130" s="16" t="inlineStr">
        <is>
          <t>Nara</t>
        </is>
      </c>
      <c r="E130" s="16" t="inlineStr">
        <is>
          <t>Nara</t>
        </is>
      </c>
      <c r="F130" s="16" t="inlineStr">
        <is>
          <t>Nara Park</t>
        </is>
      </c>
      <c r="G130" s="16" t="inlineStr">
        <is>
          <t>Nara</t>
        </is>
      </c>
      <c r="H130" s="16" t="inlineStr">
        <is>
          <t>Tōdai-ji</t>
        </is>
      </c>
      <c r="I130" s="16" t="inlineStr">
        <is>
          <t>東大寺</t>
        </is>
      </c>
      <c r="J130" s="16" t="inlineStr">
        <is>
          <t>Tōdai-ji</t>
        </is>
      </c>
      <c r="K130" s="16" t="inlineStr">
        <is>
          <t>⛩️ Templos y santuarios</t>
        </is>
      </c>
      <c r="L130" s="16" t="inlineStr">
        <is>
          <t>templo</t>
        </is>
      </c>
      <c r="M130" s="16" t="inlineStr">
        <is>
          <t>S</t>
        </is>
      </c>
      <c r="N130" s="16" t="inlineStr">
        <is>
          <t>El Gran Buda y el salón de madera tienen una escala que justifica viajar a Nara.</t>
        </is>
      </c>
      <c r="O130" s="16" t="inlineStr">
        <is>
          <t>Templo monumental con Daibutsuden y estatua de Vairocana.</t>
        </is>
      </c>
      <c r="P130" s="16" t="inlineStr">
        <is>
          <t>La masa interior y el contexto histórico superan la experiencia de ver ciervos.</t>
        </is>
      </c>
      <c r="Q130" s="16" t="inlineStr">
        <is>
          <t>Templo monumental con Daibutsuden y estatua de Vairocana.</t>
        </is>
      </c>
      <c r="R130" s="16" t="inlineStr">
        <is>
          <t>2–3 h</t>
        </is>
      </c>
      <c r="S130" s="16" t="inlineStr">
        <is>
          <t>Mañana</t>
        </is>
      </c>
      <c r="T130" s="16" t="inlineStr">
        <is>
          <t>Todo el año; Shuni-e/Omizutori a inicios de marzo</t>
        </is>
      </c>
      <c r="U130" s="16" t="inlineStr">
        <is>
          <t>Extremo</t>
        </is>
      </c>
      <c r="V130" s="16" t="inlineStr">
        <is>
          <t>Extremo</t>
        </is>
      </c>
      <c r="W130" s="89" t="n">
        <v>800</v>
      </c>
      <c r="X130" s="89" t="n">
        <v>800</v>
      </c>
      <c r="Y130" s="89">
        <f>W130*'Configuración'!$B$4</f>
        <v/>
      </c>
      <c r="Z130" s="89">
        <f>X130*'Configuración'!$B$4</f>
        <v/>
      </c>
      <c r="AA130" s="16" t="inlineStr">
        <is>
          <t>No</t>
        </is>
      </c>
      <c r="AB130" s="16" t="inlineStr">
        <is>
          <t>—</t>
        </is>
      </c>
      <c r="AC130" s="16" t="inlineStr">
        <is>
          <t>07:30/08:00–17:00 aprox.</t>
        </is>
      </c>
      <c r="AD130" s="16" t="inlineStr">
        <is>
          <t>Sin cierre ordinario</t>
        </is>
      </c>
      <c r="AE130" s="16" t="inlineStr">
        <is>
          <t>Kintetsu Nara + bus/paseo</t>
        </is>
      </c>
      <c r="AF130" s="16" t="inlineStr">
        <is>
          <t>Parcial; pueden existir escalones, grava o edificios sin elevador</t>
        </is>
      </c>
      <c r="AG130" s="90" t="n">
        <v>34.689</v>
      </c>
      <c r="AH130" s="90" t="n">
        <v>135.8398</v>
      </c>
      <c r="AI130" s="16" t="inlineStr">
        <is>
          <t>https://www.todaiji.or.jp/en/</t>
        </is>
      </c>
      <c r="AJ130" s="16" t="inlineStr">
        <is>
          <t>Cambiante</t>
        </is>
      </c>
      <c r="AK130" s="16" t="inlineStr">
        <is>
          <t>MUST SEE</t>
        </is>
      </c>
      <c r="AL130" s="16" t="inlineStr">
        <is>
          <t>historia, cultura, fotografía</t>
        </is>
      </c>
      <c r="AM130" s="91" t="n">
        <v>5</v>
      </c>
      <c r="AN130" s="91" t="n">
        <v>5</v>
      </c>
      <c r="AO130" s="91" t="n">
        <v>5</v>
      </c>
      <c r="AP130" s="91" t="n">
        <v>5</v>
      </c>
      <c r="AQ130" s="16" t="inlineStr">
        <is>
          <t>Imagen ideal: la masa interior y el contexto histórico superan la experiencia de ver ciervos. con luz de mañana, sin multitudes dominando el encuadre.</t>
        </is>
      </c>
      <c r="AR130" s="16" t="inlineStr">
        <is>
          <t>Isuien Garden (~6 min a pie) | Nara Park deer (~7 min a pie) | Kasuga Taisha (~16 min a pie)</t>
        </is>
      </c>
      <c r="AS130" s="16" t="inlineStr">
        <is>
          <t>Popular / turístico</t>
        </is>
      </c>
      <c r="AT130" s="16" t="str"/>
      <c r="AU130" s="16" t="inlineStr">
        <is>
          <t>https://www.google.com/maps/search/?api=1&amp;query=T%C5%8Ddai-ji%2C%20Nara%2C%20Japan</t>
        </is>
      </c>
      <c r="AV130" s="16" t="inlineStr">
        <is>
          <t>2026-09-01</t>
        </is>
      </c>
      <c r="AW130" s="16" t="inlineStr">
        <is>
          <t>PATRÓN HISTÓRICO / MUY PROBABLE</t>
        </is>
      </c>
      <c r="AX130" s="16" t="inlineStr">
        <is>
          <t>Shuni-e/Omizutori es una ceremonia anual de marzo; el programa público específico de 2027 debe confirmarse.</t>
        </is>
      </c>
      <c r="AY130" s="16" t="inlineStr">
        <is>
          <t>Revisar el calendario oficial de Tōdai-ji en enero de 2027.</t>
        </is>
      </c>
    </row>
    <row r="131" ht="66" customHeight="1">
      <c r="A131" s="16" t="inlineStr">
        <is>
          <t>JP-130</t>
        </is>
      </c>
      <c r="B131" s="16" t="inlineStr">
        <is>
          <t>Osaka</t>
        </is>
      </c>
      <c r="C131" s="16" t="inlineStr">
        <is>
          <t>Kansai</t>
        </is>
      </c>
      <c r="D131" s="16" t="inlineStr">
        <is>
          <t>Nara</t>
        </is>
      </c>
      <c r="E131" s="16" t="inlineStr">
        <is>
          <t>Nara</t>
        </is>
      </c>
      <c r="F131" s="16" t="inlineStr">
        <is>
          <t>Nara Park</t>
        </is>
      </c>
      <c r="G131" s="16" t="inlineStr">
        <is>
          <t>Nara</t>
        </is>
      </c>
      <c r="H131" s="16" t="inlineStr">
        <is>
          <t>Nara Park deer</t>
        </is>
      </c>
      <c r="I131" s="16" t="inlineStr">
        <is>
          <t>奈良公園の鹿</t>
        </is>
      </c>
      <c r="J131" s="16" t="inlineStr">
        <is>
          <t>Nara Park deer</t>
        </is>
      </c>
      <c r="K131" s="16" t="inlineStr">
        <is>
          <t>🧩 Extraño/peculiar/único</t>
        </is>
      </c>
      <c r="L131" s="16" t="inlineStr">
        <is>
          <t>parque/fauna urbana</t>
        </is>
      </c>
      <c r="M131" s="16" t="inlineStr">
        <is>
          <t>B</t>
        </is>
      </c>
      <c r="N131" s="16" t="inlineStr">
        <is>
          <t>Único y divertido, pero no debe eclipsar el patrimonio; algunos puntos están saturados.</t>
        </is>
      </c>
      <c r="O131" s="16" t="inlineStr">
        <is>
          <t>Ciervos sika libres alrededor del gran parque histórico.</t>
        </is>
      </c>
      <c r="P131" s="16" t="inlineStr">
        <is>
          <t>La relación entre animal, santuario y ciudad es cultural, no un zoológico.</t>
        </is>
      </c>
      <c r="Q131" s="16" t="inlineStr">
        <is>
          <t>Ciervos sika libres alrededor del gran parque histórico.</t>
        </is>
      </c>
      <c r="R131" s="16" t="inlineStr">
        <is>
          <t>1–2 h</t>
        </is>
      </c>
      <c r="S131" s="16" t="inlineStr">
        <is>
          <t>Mañana</t>
        </is>
      </c>
      <c r="T131" s="16" t="inlineStr">
        <is>
          <t>Todo el año</t>
        </is>
      </c>
      <c r="U131" s="16" t="inlineStr">
        <is>
          <t>Extremo</t>
        </is>
      </c>
      <c r="V131" s="16" t="inlineStr">
        <is>
          <t>Extremo</t>
        </is>
      </c>
      <c r="W131" s="89" t="n">
        <v>0</v>
      </c>
      <c r="X131" s="89" t="n">
        <v>500</v>
      </c>
      <c r="Y131" s="89">
        <f>W131*'Configuración'!$B$4</f>
        <v/>
      </c>
      <c r="Z131" s="89">
        <f>X131*'Configuración'!$B$4</f>
        <v/>
      </c>
      <c r="AA131" s="16" t="inlineStr">
        <is>
          <t>No</t>
        </is>
      </c>
      <c r="AB131" s="16" t="inlineStr">
        <is>
          <t>—</t>
        </is>
      </c>
      <c r="AC131" s="16" t="inlineStr">
        <is>
          <t>Parque 24 h</t>
        </is>
      </c>
      <c r="AD131" s="16" t="inlineStr">
        <is>
          <t>Sin cierre</t>
        </is>
      </c>
      <c r="AE131" s="16" t="inlineStr">
        <is>
          <t>Kintetsu Nara</t>
        </is>
      </c>
      <c r="AF131" s="16" t="inlineStr">
        <is>
          <t>Buena en áreas principales; confirmar detalles con el recinto</t>
        </is>
      </c>
      <c r="AG131" s="90" t="n">
        <v>34.685</v>
      </c>
      <c r="AH131" s="90" t="n">
        <v>135.843</v>
      </c>
      <c r="AI131" s="16" t="inlineStr">
        <is>
          <t>https://www.visitnara.jp/</t>
        </is>
      </c>
      <c r="AJ131" s="16" t="inlineStr">
        <is>
          <t>Cambiante</t>
        </is>
      </c>
      <c r="AK131" s="16" t="inlineStr">
        <is>
          <t>ICON / ANIMALS</t>
        </is>
      </c>
      <c r="AL131" s="16" t="inlineStr">
        <is>
          <t>pareja, fauna, fotografía</t>
        </is>
      </c>
      <c r="AM131" s="91" t="n">
        <v>5</v>
      </c>
      <c r="AN131" s="91" t="n">
        <v>4</v>
      </c>
      <c r="AO131" s="91" t="n">
        <v>4</v>
      </c>
      <c r="AP131" s="91" t="n">
        <v>5</v>
      </c>
      <c r="AQ131" s="16" t="inlineStr">
        <is>
          <t>Imagen ideal: la relación entre animal, santuario y ciudad es cultural, no un zoológico. con luz de mañana, sin multitudes dominando el encuadre.</t>
        </is>
      </c>
      <c r="AR131" s="16" t="inlineStr">
        <is>
          <t>Tōdai-ji (~7 min a pie) | Isuien Garden (~7 min a pie) | Kasuga Taisha (~9 min a pie)</t>
        </is>
      </c>
      <c r="AS131" s="16" t="inlineStr">
        <is>
          <t>Popular / turístico</t>
        </is>
      </c>
      <c r="AT131" s="16" t="str"/>
      <c r="AU131" s="16" t="inlineStr">
        <is>
          <t>https://www.google.com/maps/search/?api=1&amp;query=Nara%20Park%20deer%2C%20Nara%2C%20Japan</t>
        </is>
      </c>
      <c r="AV131" s="16" t="inlineStr">
        <is>
          <t>2026-09-01</t>
        </is>
      </c>
      <c r="AW131" s="16" t="inlineStr">
        <is>
          <t>CALENDARIO / CONDICIÓN PENDIENTE</t>
        </is>
      </c>
      <c r="AX131" s="16" t="inlineStr">
        <is>
          <t>No hay cierre específico confirmado para la ventana, pero horarios o acceso pueden variar.</t>
        </is>
      </c>
      <c r="AY131" s="16" t="inlineStr">
        <is>
          <t>Reconfirmar en la web oficial al fijar fechas.</t>
        </is>
      </c>
    </row>
    <row r="132" ht="66" customHeight="1">
      <c r="A132" s="16" t="inlineStr">
        <is>
          <t>JP-131</t>
        </is>
      </c>
      <c r="B132" s="16" t="inlineStr">
        <is>
          <t>Osaka</t>
        </is>
      </c>
      <c r="C132" s="16" t="inlineStr">
        <is>
          <t>Kansai</t>
        </is>
      </c>
      <c r="D132" s="16" t="inlineStr">
        <is>
          <t>Nara</t>
        </is>
      </c>
      <c r="E132" s="16" t="inlineStr">
        <is>
          <t>Nara</t>
        </is>
      </c>
      <c r="F132" s="16" t="inlineStr">
        <is>
          <t>Kasugano</t>
        </is>
      </c>
      <c r="G132" s="16" t="inlineStr">
        <is>
          <t>Nara</t>
        </is>
      </c>
      <c r="H132" s="16" t="inlineStr">
        <is>
          <t>Kasuga Taisha</t>
        </is>
      </c>
      <c r="I132" s="16" t="inlineStr">
        <is>
          <t>春日大社</t>
        </is>
      </c>
      <c r="J132" s="16" t="inlineStr">
        <is>
          <t>Kasuga Taisha</t>
        </is>
      </c>
      <c r="K132" s="16" t="inlineStr">
        <is>
          <t>⛩️ Templos y santuarios</t>
        </is>
      </c>
      <c r="L132" s="16" t="inlineStr">
        <is>
          <t>santuario</t>
        </is>
      </c>
      <c r="M132" s="16" t="inlineStr">
        <is>
          <t>A</t>
        </is>
      </c>
      <c r="N132" s="16" t="inlineStr">
        <is>
          <t>Los faroles de piedra y el bosque sagrado crean uno de los accesos más atmosféricos de Japón. Clasificación v2: excelente y muy recomendable, pero no justifica por sí sola adaptar la ruta.</t>
        </is>
      </c>
      <c r="O132" s="16" t="inlineStr">
        <is>
          <t>Santuario de vermellón rodeado de bosque primario y miles de faroles.</t>
        </is>
      </c>
      <c r="P132" s="16" t="inlineStr">
        <is>
          <t>La experiencia incluye el camino, no solo el recinto principal.</t>
        </is>
      </c>
      <c r="Q132" s="16" t="inlineStr">
        <is>
          <t>Santuario de vermellón rodeado de bosque primario y miles de faroles.</t>
        </is>
      </c>
      <c r="R132" s="16" t="inlineStr">
        <is>
          <t>1.5–2.5 h</t>
        </is>
      </c>
      <c r="S132" s="16" t="inlineStr">
        <is>
          <t>Mañana</t>
        </is>
      </c>
      <c r="T132" s="16" t="inlineStr">
        <is>
          <t>Todo el año; festivales de faroles</t>
        </is>
      </c>
      <c r="U132" s="16" t="inlineStr">
        <is>
          <t>Alto</t>
        </is>
      </c>
      <c r="V132" s="16" t="inlineStr">
        <is>
          <t>Alto</t>
        </is>
      </c>
      <c r="W132" s="89" t="n">
        <v>0</v>
      </c>
      <c r="X132" s="89" t="n">
        <v>700</v>
      </c>
      <c r="Y132" s="89">
        <f>W132*'Configuración'!$B$4</f>
        <v/>
      </c>
      <c r="Z132" s="89">
        <f>X132*'Configuración'!$B$4</f>
        <v/>
      </c>
      <c r="AA132" s="16" t="inlineStr">
        <is>
          <t>No</t>
        </is>
      </c>
      <c r="AB132" s="16" t="inlineStr">
        <is>
          <t>—</t>
        </is>
      </c>
      <c r="AC132" s="16" t="inlineStr">
        <is>
          <t>06:30–17:30 aprox.</t>
        </is>
      </c>
      <c r="AD132" s="16" t="inlineStr">
        <is>
          <t>Sin cierre ordinario</t>
        </is>
      </c>
      <c r="AE132" s="16" t="inlineStr">
        <is>
          <t>Kintetsu Nara + bus/paseo</t>
        </is>
      </c>
      <c r="AF132" s="16" t="inlineStr">
        <is>
          <t>Parcial; pueden existir escalones, grava o edificios sin elevador</t>
        </is>
      </c>
      <c r="AG132" s="90" t="n">
        <v>34.6814</v>
      </c>
      <c r="AH132" s="90" t="n">
        <v>135.8484</v>
      </c>
      <c r="AI132" s="16" t="inlineStr">
        <is>
          <t>https://www.kasugataisha.or.jp/en/</t>
        </is>
      </c>
      <c r="AJ132" s="16" t="inlineStr">
        <is>
          <t>Cambiante</t>
        </is>
      </c>
      <c r="AK132" s="16" t="inlineStr">
        <is>
          <t>MUST SEE</t>
        </is>
      </c>
      <c r="AL132" s="16" t="inlineStr">
        <is>
          <t>cultura, naturaleza, fotografía</t>
        </is>
      </c>
      <c r="AM132" s="91" t="n">
        <v>5</v>
      </c>
      <c r="AN132" s="91" t="n">
        <v>5</v>
      </c>
      <c r="AO132" s="91" t="n">
        <v>5</v>
      </c>
      <c r="AP132" s="91" t="n">
        <v>4</v>
      </c>
      <c r="AQ132" s="16" t="inlineStr">
        <is>
          <t>Imagen ideal: la experiencia incluye el camino, no solo el recinto principal. con luz de mañana, sin multitudes dominando el encuadre.</t>
        </is>
      </c>
      <c r="AR132" s="16" t="inlineStr">
        <is>
          <t>Nara Park deer (~9 min a pie) | Isuien Garden (~16 min a pie) | Tōdai-ji (~16 min a pie)</t>
        </is>
      </c>
      <c r="AS132" s="16" t="inlineStr">
        <is>
          <t>Popular / turístico</t>
        </is>
      </c>
      <c r="AT132" s="16" t="str"/>
      <c r="AU132" s="16" t="inlineStr">
        <is>
          <t>https://www.google.com/maps/search/?api=1&amp;query=Kasuga%20Taisha%2C%20Nara%2C%20Japan</t>
        </is>
      </c>
      <c r="AV132" s="16" t="inlineStr">
        <is>
          <t>2026-09-01</t>
        </is>
      </c>
      <c r="AW132" s="16" t="inlineStr">
        <is>
          <t>CALENDARIO / CONDICIÓN PENDIENTE</t>
        </is>
      </c>
      <c r="AX132" s="16" t="inlineStr">
        <is>
          <t>No hay cierre específico confirmado para la ventana, pero horarios o acceso pueden variar.</t>
        </is>
      </c>
      <c r="AY132" s="16" t="inlineStr">
        <is>
          <t>Reconfirmar en la web oficial al fijar fechas.</t>
        </is>
      </c>
    </row>
    <row r="133" ht="66" customHeight="1">
      <c r="A133" s="16" t="inlineStr">
        <is>
          <t>JP-132</t>
        </is>
      </c>
      <c r="B133" s="16" t="inlineStr">
        <is>
          <t>Osaka</t>
        </is>
      </c>
      <c r="C133" s="16" t="inlineStr">
        <is>
          <t>Kansai</t>
        </is>
      </c>
      <c r="D133" s="16" t="inlineStr">
        <is>
          <t>Nara</t>
        </is>
      </c>
      <c r="E133" s="16" t="inlineStr">
        <is>
          <t>Nara</t>
        </is>
      </c>
      <c r="F133" s="16" t="inlineStr">
        <is>
          <t>Suimoncho</t>
        </is>
      </c>
      <c r="G133" s="16" t="inlineStr">
        <is>
          <t>Nara</t>
        </is>
      </c>
      <c r="H133" s="16" t="inlineStr">
        <is>
          <t>Isuien Garden</t>
        </is>
      </c>
      <c r="I133" s="16" t="inlineStr">
        <is>
          <t>依水園</t>
        </is>
      </c>
      <c r="J133" s="16" t="inlineStr">
        <is>
          <t>Isuien Garden</t>
        </is>
      </c>
      <c r="K133" s="16" t="inlineStr">
        <is>
          <t>🌸 Jardines y paisajes</t>
        </is>
      </c>
      <c r="L133" s="16" t="inlineStr">
        <is>
          <t>jardín</t>
        </is>
      </c>
      <c r="M133" s="16" t="inlineStr">
        <is>
          <t>A</t>
        </is>
      </c>
      <c r="N133" s="16" t="inlineStr">
        <is>
          <t>Jardín refinado con paisaje prestado del monte Wakakusa y menor saturación.</t>
        </is>
      </c>
      <c r="O133" s="16" t="inlineStr">
        <is>
          <t>Dos jardines históricos y un museo de cerámica.</t>
        </is>
      </c>
      <c r="P133" s="16" t="inlineStr">
        <is>
          <t>Su horizonte incorpora la puerta de Todai-ji y montañas.</t>
        </is>
      </c>
      <c r="Q133" s="16" t="inlineStr">
        <is>
          <t>Dos jardines históricos y un museo de cerámica.</t>
        </is>
      </c>
      <c r="R133" s="16" t="inlineStr">
        <is>
          <t>1.5–2 h</t>
        </is>
      </c>
      <c r="S133" s="16" t="inlineStr">
        <is>
          <t>Mañana</t>
        </is>
      </c>
      <c r="T133" s="16" t="inlineStr">
        <is>
          <t>Primavera y otoño</t>
        </is>
      </c>
      <c r="U133" s="16" t="inlineStr">
        <is>
          <t>Bajo</t>
        </is>
      </c>
      <c r="V133" s="16" t="inlineStr">
        <is>
          <t>Bajo</t>
        </is>
      </c>
      <c r="W133" s="89" t="n">
        <v>1200</v>
      </c>
      <c r="X133" s="89" t="n">
        <v>1200</v>
      </c>
      <c r="Y133" s="89">
        <f>W133*'Configuración'!$B$4</f>
        <v/>
      </c>
      <c r="Z133" s="89">
        <f>X133*'Configuración'!$B$4</f>
        <v/>
      </c>
      <c r="AA133" s="16" t="inlineStr">
        <is>
          <t>No</t>
        </is>
      </c>
      <c r="AB133" s="16" t="inlineStr">
        <is>
          <t>—</t>
        </is>
      </c>
      <c r="AC133" s="16" t="inlineStr">
        <is>
          <t>09:30–16:30 aprox.</t>
        </is>
      </c>
      <c r="AD133" s="16" t="inlineStr">
        <is>
          <t>Martes; verificar</t>
        </is>
      </c>
      <c r="AE133" s="16" t="inlineStr">
        <is>
          <t>Kintetsu Nara + paseo</t>
        </is>
      </c>
      <c r="AF133" s="16" t="inlineStr">
        <is>
          <t>Parcial; pueden existir escalones, grava o edificios sin elevador</t>
        </is>
      </c>
      <c r="AG133" s="90" t="n">
        <v>34.686</v>
      </c>
      <c r="AH133" s="90" t="n">
        <v>135.8373</v>
      </c>
      <c r="AI133" s="16" t="inlineStr">
        <is>
          <t>https://isuien.or.jp/en/</t>
        </is>
      </c>
      <c r="AJ133" s="16" t="inlineStr">
        <is>
          <t>Cambiante</t>
        </is>
      </c>
      <c r="AK133" s="16" t="inlineStr">
        <is>
          <t>HIDDEN GEM</t>
        </is>
      </c>
      <c r="AL133" s="16" t="inlineStr">
        <is>
          <t>pareja, jardines, fotografía</t>
        </is>
      </c>
      <c r="AM133" s="91" t="n">
        <v>5</v>
      </c>
      <c r="AN133" s="91" t="n">
        <v>5</v>
      </c>
      <c r="AO133" s="91" t="n">
        <v>5</v>
      </c>
      <c r="AP133" s="91" t="n">
        <v>1</v>
      </c>
      <c r="AQ133" s="16" t="inlineStr">
        <is>
          <t>Imagen ideal: su horizonte incorpora la puerta de todai-ji y montañas. con luz de mañana, sin multitudes dominando el encuadre.</t>
        </is>
      </c>
      <c r="AR133" s="16" t="inlineStr">
        <is>
          <t>Tōdai-ji (~6 min a pie) | Nara Park deer (~7 min a pie) | Kasuga Taisha (~16 min a pie)</t>
        </is>
      </c>
      <c r="AS133" s="16" t="inlineStr">
        <is>
          <t>Semi-hidden</t>
        </is>
      </c>
      <c r="AT133" s="16" t="str"/>
      <c r="AU133" s="16" t="inlineStr">
        <is>
          <t>https://www.google.com/maps/search/?api=1&amp;query=Isuien%20Garden%2C%20Nara%2C%20Japan</t>
        </is>
      </c>
      <c r="AV133" s="16" t="inlineStr">
        <is>
          <t>2026-09-01</t>
        </is>
      </c>
      <c r="AW133" s="16" t="inlineStr">
        <is>
          <t>CALENDARIO / CONDICIÓN PENDIENTE</t>
        </is>
      </c>
      <c r="AX133" s="16" t="inlineStr">
        <is>
          <t>No hay cierre específico confirmado para la ventana, pero horarios o acceso pueden variar.</t>
        </is>
      </c>
      <c r="AY133" s="16" t="inlineStr">
        <is>
          <t>Reconfirmar en la web oficial al fijar fechas.</t>
        </is>
      </c>
    </row>
    <row r="134" ht="66" customHeight="1">
      <c r="A134" s="16" t="inlineStr">
        <is>
          <t>JP-133</t>
        </is>
      </c>
      <c r="B134" s="16" t="inlineStr">
        <is>
          <t>Osaka</t>
        </is>
      </c>
      <c r="C134" s="16" t="inlineStr">
        <is>
          <t>Kansai</t>
        </is>
      </c>
      <c r="D134" s="16" t="inlineStr">
        <is>
          <t>Nara</t>
        </is>
      </c>
      <c r="E134" s="16" t="inlineStr">
        <is>
          <t>Nara</t>
        </is>
      </c>
      <c r="F134" s="16" t="inlineStr">
        <is>
          <t>Naramachi</t>
        </is>
      </c>
      <c r="G134" s="16" t="inlineStr">
        <is>
          <t>Nara</t>
        </is>
      </c>
      <c r="H134" s="16" t="inlineStr">
        <is>
          <t>Naramachi</t>
        </is>
      </c>
      <c r="I134" s="16" t="inlineStr">
        <is>
          <t>ならまち</t>
        </is>
      </c>
      <c r="J134" s="16" t="inlineStr">
        <is>
          <t>Naramachi</t>
        </is>
      </c>
      <c r="K134" s="16" t="inlineStr">
        <is>
          <t>🏙️ Ciudad y barrios</t>
        </is>
      </c>
      <c r="L134" s="16" t="inlineStr">
        <is>
          <t>barrio histórico</t>
        </is>
      </c>
      <c r="M134" s="16" t="inlineStr">
        <is>
          <t>A</t>
        </is>
      </c>
      <c r="N134" s="16" t="inlineStr">
        <is>
          <t>El mejor lugar para prolongar Nara más allá del parque y ver casas mercantiles.</t>
        </is>
      </c>
      <c r="O134" s="16" t="inlineStr">
        <is>
          <t>Red de machiya, museos pequeños, cafés y templos al sur del centro.</t>
        </is>
      </c>
      <c r="P134" s="16" t="inlineStr">
        <is>
          <t>Es una zona vivida y explorable, no una sola calle escenográfica.</t>
        </is>
      </c>
      <c r="Q134" s="16" t="inlineStr">
        <is>
          <t>Red de machiya, museos pequeños, cafés y templos al sur del centro.</t>
        </is>
      </c>
      <c r="R134" s="16" t="inlineStr">
        <is>
          <t>2–4 h</t>
        </is>
      </c>
      <c r="S134" s="16" t="inlineStr">
        <is>
          <t>Tarde</t>
        </is>
      </c>
      <c r="T134" s="16" t="inlineStr">
        <is>
          <t>Todo el año</t>
        </is>
      </c>
      <c r="U134" s="16" t="inlineStr">
        <is>
          <t>Medio</t>
        </is>
      </c>
      <c r="V134" s="16" t="inlineStr">
        <is>
          <t>Bajo</t>
        </is>
      </c>
      <c r="W134" s="89" t="n">
        <v>0</v>
      </c>
      <c r="X134" s="89" t="n">
        <v>0</v>
      </c>
      <c r="Y134" s="89">
        <f>W134*'Configuración'!$B$4</f>
        <v/>
      </c>
      <c r="Z134" s="89">
        <f>X134*'Configuración'!$B$4</f>
        <v/>
      </c>
      <c r="AA134" s="16" t="inlineStr">
        <is>
          <t>No</t>
        </is>
      </c>
      <c r="AB134" s="16" t="inlineStr">
        <is>
          <t>—</t>
        </is>
      </c>
      <c r="AC134" s="16" t="inlineStr">
        <is>
          <t>Espacio público; negocios variables</t>
        </is>
      </c>
      <c r="AD134" s="16" t="inlineStr">
        <is>
          <t>Sin cierre</t>
        </is>
      </c>
      <c r="AE134" s="16" t="inlineStr">
        <is>
          <t>Kintetsu/JR Nara</t>
        </is>
      </c>
      <c r="AF134" s="16" t="inlineStr">
        <is>
          <t>Buena en áreas principales; confirmar detalles con el recinto</t>
        </is>
      </c>
      <c r="AG134" s="90" t="n">
        <v>34.675</v>
      </c>
      <c r="AH134" s="90" t="n">
        <v>135.829</v>
      </c>
      <c r="AI134" s="16" t="inlineStr">
        <is>
          <t>https://www.visitnara.jp/</t>
        </is>
      </c>
      <c r="AJ134" s="16" t="inlineStr">
        <is>
          <t>Cambiante</t>
        </is>
      </c>
      <c r="AK134" s="16" t="inlineStr">
        <is>
          <t>HIDDEN GEM</t>
        </is>
      </c>
      <c r="AL134" s="16" t="inlineStr">
        <is>
          <t>pareja, arquitectura, comida, fotografía</t>
        </is>
      </c>
      <c r="AM134" s="91" t="n">
        <v>4</v>
      </c>
      <c r="AN134" s="91" t="n">
        <v>5</v>
      </c>
      <c r="AO134" s="91" t="n">
        <v>5</v>
      </c>
      <c r="AP134" s="91" t="n">
        <v>2</v>
      </c>
      <c r="AQ134" s="16" t="inlineStr">
        <is>
          <t>Imagen ideal: es una zona vivida y explorable, no una sola calle escenográfica. con luz de tarde, sin multitudes dominando el encuadre.</t>
        </is>
      </c>
      <c r="AR134" s="16" t="inlineStr">
        <is>
          <t>Isuien Garden (~20 min a pie) | Nara Park deer (~24 min a pie) | Tōdai-ji (~26 min en transporte)</t>
        </is>
      </c>
      <c r="AS134" s="16" t="inlineStr">
        <is>
          <t>Semi-hidden</t>
        </is>
      </c>
      <c r="AT134" s="16" t="str"/>
      <c r="AU134" s="16" t="inlineStr">
        <is>
          <t>https://www.google.com/maps/search/?api=1&amp;query=Naramachi%2C%20Nara%2C%20Japan</t>
        </is>
      </c>
      <c r="AV134" s="16" t="inlineStr">
        <is>
          <t>2026-09-01</t>
        </is>
      </c>
      <c r="AW134" s="16" t="inlineStr">
        <is>
          <t>CALENDARIO / CONDICIÓN PENDIENTE</t>
        </is>
      </c>
      <c r="AX134" s="16" t="inlineStr">
        <is>
          <t>No hay cierre específico confirmado para la ventana, pero horarios o acceso pueden variar.</t>
        </is>
      </c>
      <c r="AY134" s="16" t="inlineStr">
        <is>
          <t>Reconfirmar en la web oficial al fijar fechas.</t>
        </is>
      </c>
    </row>
    <row r="135" ht="66" customHeight="1">
      <c r="A135" s="16" t="inlineStr">
        <is>
          <t>JP-134</t>
        </is>
      </c>
      <c r="B135" s="16" t="inlineStr">
        <is>
          <t>Osaka</t>
        </is>
      </c>
      <c r="C135" s="16" t="inlineStr">
        <is>
          <t>Kansai</t>
        </is>
      </c>
      <c r="D135" s="16" t="inlineStr">
        <is>
          <t>Nara</t>
        </is>
      </c>
      <c r="E135" s="16" t="inlineStr">
        <is>
          <t>Ikaruga</t>
        </is>
      </c>
      <c r="F135" s="16" t="inlineStr">
        <is>
          <t>Ikaruga</t>
        </is>
      </c>
      <c r="G135" s="16" t="inlineStr">
        <is>
          <t>West Nara</t>
        </is>
      </c>
      <c r="H135" s="16" t="inlineStr">
        <is>
          <t>Hōryū-ji</t>
        </is>
      </c>
      <c r="I135" s="16" t="inlineStr">
        <is>
          <t>法隆寺</t>
        </is>
      </c>
      <c r="J135" s="16" t="inlineStr">
        <is>
          <t>Hōryū-ji</t>
        </is>
      </c>
      <c r="K135" s="16" t="inlineStr">
        <is>
          <t>🏯 Historia y patrimonio</t>
        </is>
      </c>
      <c r="L135" s="16" t="inlineStr">
        <is>
          <t>templo</t>
        </is>
      </c>
      <c r="M135" s="16" t="inlineStr">
        <is>
          <t>S</t>
        </is>
      </c>
      <c r="N135" s="16" t="inlineStr">
        <is>
          <t>Arquitectura de madera del siglo VII y contexto histórico de primer nivel mundial.</t>
        </is>
      </c>
      <c r="O135" s="16" t="inlineStr">
        <is>
          <t>Complejo budista con algunos de los edificios de madera más antiguos del mundo.</t>
        </is>
      </c>
      <c r="P135" s="16" t="inlineStr">
        <is>
          <t>Su antigüedad material supera a casi todos los templos más fotografiados.</t>
        </is>
      </c>
      <c r="Q135" s="16" t="inlineStr">
        <is>
          <t>Complejo budista con algunos de los edificios de madera más antiguos del mundo.</t>
        </is>
      </c>
      <c r="R135" s="16" t="inlineStr">
        <is>
          <t>2.5–4 h</t>
        </is>
      </c>
      <c r="S135" s="16" t="inlineStr">
        <is>
          <t>Mañana</t>
        </is>
      </c>
      <c r="T135" s="16" t="inlineStr">
        <is>
          <t>Todo el año</t>
        </is>
      </c>
      <c r="U135" s="16" t="inlineStr">
        <is>
          <t>Medio</t>
        </is>
      </c>
      <c r="V135" s="16" t="inlineStr">
        <is>
          <t>Medio</t>
        </is>
      </c>
      <c r="W135" s="89" t="n">
        <v>2000</v>
      </c>
      <c r="X135" s="89" t="n">
        <v>2000</v>
      </c>
      <c r="Y135" s="89">
        <f>W135*'Configuración'!$B$4</f>
        <v/>
      </c>
      <c r="Z135" s="89">
        <f>X135*'Configuración'!$B$4</f>
        <v/>
      </c>
      <c r="AA135" s="16" t="inlineStr">
        <is>
          <t>No</t>
        </is>
      </c>
      <c r="AB135" s="16" t="inlineStr">
        <is>
          <t>—</t>
        </is>
      </c>
      <c r="AC135" s="16" t="inlineStr">
        <is>
          <t>08:00–17:00 aprox.</t>
        </is>
      </c>
      <c r="AD135" s="16" t="inlineStr">
        <is>
          <t>Sin cierre ordinario</t>
        </is>
      </c>
      <c r="AE135" s="16" t="inlineStr">
        <is>
          <t>JR Horyuji + bus/paseo</t>
        </is>
      </c>
      <c r="AF135" s="16" t="inlineStr">
        <is>
          <t>Parcial; pueden existir escalones, grava o edificios sin elevador</t>
        </is>
      </c>
      <c r="AG135" s="90" t="n">
        <v>34.614</v>
      </c>
      <c r="AH135" s="90" t="n">
        <v>135.7342</v>
      </c>
      <c r="AI135" s="16" t="inlineStr">
        <is>
          <t>https://www.horyuji.or.jp/en/</t>
        </is>
      </c>
      <c r="AJ135" s="16" t="inlineStr">
        <is>
          <t>Cambiante</t>
        </is>
      </c>
      <c r="AK135" s="16" t="inlineStr">
        <is>
          <t>MUST SEE / HISTORY</t>
        </is>
      </c>
      <c r="AL135" s="16" t="inlineStr">
        <is>
          <t>historia, arquitectura, cultura</t>
        </is>
      </c>
      <c r="AM135" s="91" t="n">
        <v>5</v>
      </c>
      <c r="AN135" s="91" t="n">
        <v>5</v>
      </c>
      <c r="AO135" s="91" t="n">
        <v>5</v>
      </c>
      <c r="AP135" s="91" t="n">
        <v>2</v>
      </c>
      <c r="AQ135" s="16" t="inlineStr">
        <is>
          <t>Imagen ideal: su antigüedad material supera a casi todos los templos más fotografiados. con luz de mañana, sin multitudes dominando el encuadre.</t>
        </is>
      </c>
      <c r="AR135" s="16" t="str"/>
      <c r="AS135" s="16" t="inlineStr">
        <is>
          <t>Lugar conocido pero excelente</t>
        </is>
      </c>
      <c r="AT135" s="16" t="str"/>
      <c r="AU135" s="16" t="inlineStr">
        <is>
          <t>https://www.google.com/maps/search/?api=1&amp;query=H%C5%8Dry%C5%AB-ji%2C%20Ikaruga%2C%20Japan</t>
        </is>
      </c>
      <c r="AV135" s="16" t="inlineStr">
        <is>
          <t>2026-09-01</t>
        </is>
      </c>
      <c r="AW135" s="16" t="inlineStr">
        <is>
          <t>CALENDARIO / CONDICIÓN PENDIENTE</t>
        </is>
      </c>
      <c r="AX135" s="16" t="inlineStr">
        <is>
          <t>No hay cierre específico confirmado para la ventana, pero horarios o acceso pueden variar.</t>
        </is>
      </c>
      <c r="AY135" s="16" t="inlineStr">
        <is>
          <t>Reconfirmar en la web oficial al fijar fechas.</t>
        </is>
      </c>
    </row>
    <row r="136" ht="66" customHeight="1">
      <c r="A136" s="16" t="inlineStr">
        <is>
          <t>JP-135</t>
        </is>
      </c>
      <c r="B136" s="16" t="inlineStr">
        <is>
          <t>Osaka</t>
        </is>
      </c>
      <c r="C136" s="16" t="inlineStr">
        <is>
          <t>Kansai</t>
        </is>
      </c>
      <c r="D136" s="16" t="inlineStr">
        <is>
          <t>Hyogo</t>
        </is>
      </c>
      <c r="E136" s="16" t="inlineStr">
        <is>
          <t>Himeji</t>
        </is>
      </c>
      <c r="F136" s="16" t="inlineStr">
        <is>
          <t>Himeji</t>
        </is>
      </c>
      <c r="G136" s="16" t="inlineStr">
        <is>
          <t>Himeji</t>
        </is>
      </c>
      <c r="H136" s="16" t="inlineStr">
        <is>
          <t>Himeji Castle</t>
        </is>
      </c>
      <c r="I136" s="16" t="inlineStr">
        <is>
          <t>姫路城</t>
        </is>
      </c>
      <c r="J136" s="16" t="inlineStr">
        <is>
          <t>Himeji Castle</t>
        </is>
      </c>
      <c r="K136" s="16" t="inlineStr">
        <is>
          <t>🏯 Historia y patrimonio</t>
        </is>
      </c>
      <c r="L136" s="16" t="inlineStr">
        <is>
          <t>castillo</t>
        </is>
      </c>
      <c r="M136" s="16" t="inlineStr">
        <is>
          <t>S</t>
        </is>
      </c>
      <c r="N136" s="16" t="inlineStr">
        <is>
          <t>El castillo original más espectacular y completo de Japón.</t>
        </is>
      </c>
      <c r="O136" s="16" t="inlineStr">
        <is>
          <t>Fortaleza blanca del siglo XVII con torre original y defensas laberínticas.</t>
        </is>
      </c>
      <c r="P136" s="16" t="inlineStr">
        <is>
          <t>No es una reconstrucción de concreto; se recorre la estructura histórica.</t>
        </is>
      </c>
      <c r="Q136" s="16" t="inlineStr">
        <is>
          <t>Fortaleza blanca del siglo XVII con torre original y defensas laberínticas.</t>
        </is>
      </c>
      <c r="R136" s="16" t="inlineStr">
        <is>
          <t>3–4 h</t>
        </is>
      </c>
      <c r="S136" s="16" t="inlineStr">
        <is>
          <t>Mañana</t>
        </is>
      </c>
      <c r="T136" s="16" t="inlineStr">
        <is>
          <t>Sakura y todo el año</t>
        </is>
      </c>
      <c r="U136" s="16" t="inlineStr">
        <is>
          <t>Extremo</t>
        </is>
      </c>
      <c r="V136" s="16" t="inlineStr">
        <is>
          <t>Extremo</t>
        </is>
      </c>
      <c r="W136" s="89" t="n">
        <v>1000</v>
      </c>
      <c r="X136" s="89" t="n">
        <v>1050</v>
      </c>
      <c r="Y136" s="89">
        <f>W136*'Configuración'!$B$4</f>
        <v/>
      </c>
      <c r="Z136" s="89">
        <f>X136*'Configuración'!$B$4</f>
        <v/>
      </c>
      <c r="AA136" s="16" t="inlineStr">
        <is>
          <t>Recomendable</t>
        </is>
      </c>
      <c r="AB136" s="16" t="inlineStr">
        <is>
          <t>Días en temporada alta</t>
        </is>
      </c>
      <c r="AC136" s="16" t="inlineStr">
        <is>
          <t>09:00–17:00 aprox.</t>
        </is>
      </c>
      <c r="AD136" s="16" t="inlineStr">
        <is>
          <t>29–30 dic; verificar</t>
        </is>
      </c>
      <c r="AE136" s="16" t="inlineStr">
        <is>
          <t>JR/Sanyo Himeji + 20 min</t>
        </is>
      </c>
      <c r="AF136" s="16" t="inlineStr">
        <is>
          <t>Parcial; pueden existir escalones, grava o edificios sin elevador</t>
        </is>
      </c>
      <c r="AG136" s="90" t="n">
        <v>34.8394</v>
      </c>
      <c r="AH136" s="90" t="n">
        <v>134.6939</v>
      </c>
      <c r="AI136" s="16" t="inlineStr">
        <is>
          <t>https://www.himejicastle.jp/en/</t>
        </is>
      </c>
      <c r="AJ136" s="16" t="inlineStr">
        <is>
          <t>Cambiante</t>
        </is>
      </c>
      <c r="AK136" s="16" t="inlineStr">
        <is>
          <t>MUST SEE</t>
        </is>
      </c>
      <c r="AL136" s="16" t="inlineStr">
        <is>
          <t>historia, arquitectura, fotografía</t>
        </is>
      </c>
      <c r="AM136" s="91" t="n">
        <v>5</v>
      </c>
      <c r="AN136" s="91" t="n">
        <v>5</v>
      </c>
      <c r="AO136" s="91" t="n">
        <v>5</v>
      </c>
      <c r="AP136" s="91" t="n">
        <v>5</v>
      </c>
      <c r="AQ136" s="16" t="inlineStr">
        <is>
          <t>Imagen ideal: no es una reconstrucción de concreto; se recorre la estructura histórica. con luz de mañana, sin multitudes dominando el encuadre.</t>
        </is>
      </c>
      <c r="AR136" s="16" t="inlineStr">
        <is>
          <t>Kōko-en (~5 min a pie)</t>
        </is>
      </c>
      <c r="AS136" s="16" t="inlineStr">
        <is>
          <t>Popular / turístico</t>
        </is>
      </c>
      <c r="AT136" s="16" t="str"/>
      <c r="AU136" s="16" t="inlineStr">
        <is>
          <t>https://www.google.com/maps/search/?api=1&amp;query=Himeji%20Castle%2C%20Himeji%2C%20Japan</t>
        </is>
      </c>
      <c r="AV136" s="16" t="inlineStr">
        <is>
          <t>2026-09-01</t>
        </is>
      </c>
      <c r="AW136" s="16" t="inlineStr">
        <is>
          <t>ABIERTO; FLORACIÓN NO GARANTIZADA</t>
        </is>
      </c>
      <c r="AX136" s="16" t="inlineStr">
        <is>
          <t>En Japón central la floración plena suele ser más tardía; finales de marzo es incierto.</t>
        </is>
      </c>
      <c r="AY136" s="16" t="inlineStr">
        <is>
          <t>No basar la visita en sakura hasta el pronóstico 2027.</t>
        </is>
      </c>
    </row>
    <row r="137" ht="66" customHeight="1">
      <c r="A137" s="16" t="inlineStr">
        <is>
          <t>JP-136</t>
        </is>
      </c>
      <c r="B137" s="16" t="inlineStr">
        <is>
          <t>Osaka</t>
        </is>
      </c>
      <c r="C137" s="16" t="inlineStr">
        <is>
          <t>Kansai</t>
        </is>
      </c>
      <c r="D137" s="16" t="inlineStr">
        <is>
          <t>Hyogo</t>
        </is>
      </c>
      <c r="E137" s="16" t="inlineStr">
        <is>
          <t>Himeji</t>
        </is>
      </c>
      <c r="F137" s="16" t="inlineStr">
        <is>
          <t>Himeji</t>
        </is>
      </c>
      <c r="G137" s="16" t="inlineStr">
        <is>
          <t>Himeji</t>
        </is>
      </c>
      <c r="H137" s="16" t="inlineStr">
        <is>
          <t>Kōko-en</t>
        </is>
      </c>
      <c r="I137" s="16" t="inlineStr">
        <is>
          <t>好古園</t>
        </is>
      </c>
      <c r="J137" s="16" t="inlineStr">
        <is>
          <t>Kōko-en</t>
        </is>
      </c>
      <c r="K137" s="16" t="inlineStr">
        <is>
          <t>🌸 Jardines y paisajes</t>
        </is>
      </c>
      <c r="L137" s="16" t="inlineStr">
        <is>
          <t>jardín</t>
        </is>
      </c>
      <c r="M137" s="16" t="inlineStr">
        <is>
          <t>A</t>
        </is>
      </c>
      <c r="N137" s="16" t="inlineStr">
        <is>
          <t>Complemento ideal del castillo y mucho más tranquilo que el recinto principal.</t>
        </is>
      </c>
      <c r="O137" s="16" t="inlineStr">
        <is>
          <t>Nueve jardines amurallados junto al foso de Himeji.</t>
        </is>
      </c>
      <c r="P137" s="16" t="inlineStr">
        <is>
          <t>Cambia de atmósfera en cada patio sin un largo traslado.</t>
        </is>
      </c>
      <c r="Q137" s="16" t="inlineStr">
        <is>
          <t>Nueve jardines amurallados junto al foso de Himeji.</t>
        </is>
      </c>
      <c r="R137" s="16" t="inlineStr">
        <is>
          <t>1.5–2 h</t>
        </is>
      </c>
      <c r="S137" s="16" t="inlineStr">
        <is>
          <t>Tarde</t>
        </is>
      </c>
      <c r="T137" s="16" t="inlineStr">
        <is>
          <t>Otoño</t>
        </is>
      </c>
      <c r="U137" s="16" t="inlineStr">
        <is>
          <t>Medio</t>
        </is>
      </c>
      <c r="V137" s="16" t="inlineStr">
        <is>
          <t>Medio</t>
        </is>
      </c>
      <c r="W137" s="89" t="n">
        <v>310</v>
      </c>
      <c r="X137" s="89" t="n">
        <v>310</v>
      </c>
      <c r="Y137" s="89">
        <f>W137*'Configuración'!$B$4</f>
        <v/>
      </c>
      <c r="Z137" s="89">
        <f>X137*'Configuración'!$B$4</f>
        <v/>
      </c>
      <c r="AA137" s="16" t="inlineStr">
        <is>
          <t>No</t>
        </is>
      </c>
      <c r="AB137" s="16" t="inlineStr">
        <is>
          <t>—</t>
        </is>
      </c>
      <c r="AC137" s="16" t="inlineStr">
        <is>
          <t>09:00–17:00 aprox.</t>
        </is>
      </c>
      <c r="AD137" s="16" t="inlineStr">
        <is>
          <t>29–30 dic; verificar</t>
        </is>
      </c>
      <c r="AE137" s="16" t="inlineStr">
        <is>
          <t>Junto a Himeji Castle</t>
        </is>
      </c>
      <c r="AF137" s="16" t="inlineStr">
        <is>
          <t>Parcial; pueden existir escalones, grava o edificios sin elevador</t>
        </is>
      </c>
      <c r="AG137" s="90" t="n">
        <v>34.8382</v>
      </c>
      <c r="AH137" s="90" t="n">
        <v>134.69</v>
      </c>
      <c r="AI137" s="16" t="inlineStr">
        <is>
          <t>https://www.himeji-machishin.jp/ryokka/kokoen/en/</t>
        </is>
      </c>
      <c r="AJ137" s="16" t="inlineStr">
        <is>
          <t>Cambiante</t>
        </is>
      </c>
      <c r="AK137" s="16" t="inlineStr">
        <is>
          <t>GARDEN</t>
        </is>
      </c>
      <c r="AL137" s="16" t="inlineStr">
        <is>
          <t>pareja, jardines, fotografía</t>
        </is>
      </c>
      <c r="AM137" s="91" t="n">
        <v>5</v>
      </c>
      <c r="AN137" s="91" t="n">
        <v>4</v>
      </c>
      <c r="AO137" s="91" t="n">
        <v>5</v>
      </c>
      <c r="AP137" s="91" t="n">
        <v>2</v>
      </c>
      <c r="AQ137" s="16" t="inlineStr">
        <is>
          <t>Imagen ideal: cambia de atmósfera en cada patio sin un largo traslado. con luz de tarde, sin multitudes dominando el encuadre.</t>
        </is>
      </c>
      <c r="AR137" s="16" t="inlineStr">
        <is>
          <t>Himeji Castle (~5 min a pie)</t>
        </is>
      </c>
      <c r="AS137" s="16" t="inlineStr">
        <is>
          <t>Lugar conocido pero excelente</t>
        </is>
      </c>
      <c r="AT137" s="16" t="str"/>
      <c r="AU137" s="16" t="inlineStr">
        <is>
          <t>https://www.google.com/maps/search/?api=1&amp;query=K%C5%8Dko-en%2C%20Himeji%2C%20Japan</t>
        </is>
      </c>
      <c r="AV137" s="16" t="inlineStr">
        <is>
          <t>2026-09-01</t>
        </is>
      </c>
      <c r="AW137" s="16" t="inlineStr">
        <is>
          <t>CALENDARIO / CONDICIÓN PENDIENTE</t>
        </is>
      </c>
      <c r="AX137" s="16" t="inlineStr">
        <is>
          <t>No hay cierre específico confirmado para la ventana, pero horarios o acceso pueden variar.</t>
        </is>
      </c>
      <c r="AY137" s="16" t="inlineStr">
        <is>
          <t>Reconfirmar en la web oficial al fijar fechas.</t>
        </is>
      </c>
    </row>
    <row r="138" ht="66" customHeight="1">
      <c r="A138" s="16" t="inlineStr">
        <is>
          <t>JP-137</t>
        </is>
      </c>
      <c r="B138" s="16" t="inlineStr">
        <is>
          <t>Osaka</t>
        </is>
      </c>
      <c r="C138" s="16" t="inlineStr">
        <is>
          <t>Kansai</t>
        </is>
      </c>
      <c r="D138" s="16" t="inlineStr">
        <is>
          <t>Hyogo</t>
        </is>
      </c>
      <c r="E138" s="16" t="inlineStr">
        <is>
          <t>Himeji</t>
        </is>
      </c>
      <c r="F138" s="16" t="inlineStr">
        <is>
          <t>Mt Shosha</t>
        </is>
      </c>
      <c r="G138" s="16" t="inlineStr">
        <is>
          <t>Himeji</t>
        </is>
      </c>
      <c r="H138" s="16" t="inlineStr">
        <is>
          <t>Engyō-ji on Mount Shosha</t>
        </is>
      </c>
      <c r="I138" s="16" t="inlineStr">
        <is>
          <t>書寫山圓教寺</t>
        </is>
      </c>
      <c r="J138" s="16" t="inlineStr">
        <is>
          <t>Engyō-ji on Mount Shosha</t>
        </is>
      </c>
      <c r="K138" s="16" t="inlineStr">
        <is>
          <t>⛩️ Templos y santuarios</t>
        </is>
      </c>
      <c r="L138" s="16" t="inlineStr">
        <is>
          <t>templo de montaña</t>
        </is>
      </c>
      <c r="M138" s="16" t="inlineStr">
        <is>
          <t>A</t>
        </is>
      </c>
      <c r="N138" s="16" t="inlineStr">
        <is>
          <t>Bosque, teleférico y arquitectura monástica crean una experiencia completa y poco saturada. Clasificación v2: excelente y muy recomendable, pero no justifica por sí sola adaptar la ruta.</t>
        </is>
      </c>
      <c r="O138" s="16" t="inlineStr">
        <is>
          <t>Complejo de montaña con grandes salones de madera y senderos.</t>
        </is>
      </c>
      <c r="P138" s="16" t="inlineStr">
        <is>
          <t>La atmósfera cinematográfica contrasta con el castillo urbano.</t>
        </is>
      </c>
      <c r="Q138" s="16" t="inlineStr">
        <is>
          <t>Complejo de montaña con grandes salones de madera y senderos.</t>
        </is>
      </c>
      <c r="R138" s="16" t="inlineStr">
        <is>
          <t>3–5 h</t>
        </is>
      </c>
      <c r="S138" s="16" t="inlineStr">
        <is>
          <t>Mañana</t>
        </is>
      </c>
      <c r="T138" s="16" t="inlineStr">
        <is>
          <t>Otoño</t>
        </is>
      </c>
      <c r="U138" s="16" t="inlineStr">
        <is>
          <t>Medio</t>
        </is>
      </c>
      <c r="V138" s="16" t="inlineStr">
        <is>
          <t>Bajo</t>
        </is>
      </c>
      <c r="W138" s="89" t="n">
        <v>500</v>
      </c>
      <c r="X138" s="89" t="n">
        <v>1200</v>
      </c>
      <c r="Y138" s="89">
        <f>W138*'Configuración'!$B$4</f>
        <v/>
      </c>
      <c r="Z138" s="89">
        <f>X138*'Configuración'!$B$4</f>
        <v/>
      </c>
      <c r="AA138" s="16" t="inlineStr">
        <is>
          <t>No</t>
        </is>
      </c>
      <c r="AB138" s="16" t="inlineStr">
        <is>
          <t>—</t>
        </is>
      </c>
      <c r="AC138" s="16" t="inlineStr">
        <is>
          <t>08:30–17:00 aprox.</t>
        </is>
      </c>
      <c r="AD138" s="16" t="inlineStr">
        <is>
          <t>Clima/mantenimiento</t>
        </is>
      </c>
      <c r="AE138" s="16" t="inlineStr">
        <is>
          <t>Bus + Shosha Ropeway</t>
        </is>
      </c>
      <c r="AF138" s="16" t="inlineStr">
        <is>
          <t>Parcial o baja; terreno irregular y condiciones naturales</t>
        </is>
      </c>
      <c r="AG138" s="90" t="n">
        <v>34.8892</v>
      </c>
      <c r="AH138" s="90" t="n">
        <v>134.657</v>
      </c>
      <c r="AI138" s="16" t="inlineStr">
        <is>
          <t>https://www.shosha.or.jp/_en/</t>
        </is>
      </c>
      <c r="AJ138" s="16" t="inlineStr">
        <is>
          <t>Cambiante</t>
        </is>
      </c>
      <c r="AK138" s="16" t="inlineStr">
        <is>
          <t>HIDDEN GEM / NATURE</t>
        </is>
      </c>
      <c r="AL138" s="16" t="inlineStr">
        <is>
          <t>senderismo, cultura, fotografía</t>
        </is>
      </c>
      <c r="AM138" s="91" t="n">
        <v>5</v>
      </c>
      <c r="AN138" s="91" t="n">
        <v>5</v>
      </c>
      <c r="AO138" s="91" t="n">
        <v>5</v>
      </c>
      <c r="AP138" s="91" t="n">
        <v>1</v>
      </c>
      <c r="AQ138" s="16" t="inlineStr">
        <is>
          <t>Imagen ideal: la atmósfera cinematográfica contrasta con el castillo urbano. con luz de mañana, sin multitudes dominando el encuadre.</t>
        </is>
      </c>
      <c r="AR138" s="16" t="str"/>
      <c r="AS138" s="16" t="inlineStr">
        <is>
          <t>Semi-hidden</t>
        </is>
      </c>
      <c r="AT138" s="16" t="str"/>
      <c r="AU138" s="16" t="inlineStr">
        <is>
          <t>https://www.google.com/maps/search/?api=1&amp;query=Engy%C5%8D-ji%20on%20Mount%20Shosha%2C%20Himeji%2C%20Japan</t>
        </is>
      </c>
      <c r="AV138" s="16" t="inlineStr">
        <is>
          <t>2026-09-01</t>
        </is>
      </c>
      <c r="AW138" s="16" t="inlineStr">
        <is>
          <t>RIESGO ESTACIONAL</t>
        </is>
      </c>
      <c r="AX138" s="16" t="inlineStr">
        <is>
          <t>Posibles nieve, hielo, barro, viento, cierres y menos horas de luz.</t>
        </is>
      </c>
      <c r="AY138" s="16" t="inlineStr">
        <is>
          <t>Revisar clima, sendero y último transporte 24–48 h antes.</t>
        </is>
      </c>
    </row>
    <row r="139" ht="66" customHeight="1">
      <c r="A139" s="16" t="inlineStr">
        <is>
          <t>JP-138</t>
        </is>
      </c>
      <c r="B139" s="16" t="inlineStr">
        <is>
          <t>Osaka</t>
        </is>
      </c>
      <c r="C139" s="16" t="inlineStr">
        <is>
          <t>Kansai</t>
        </is>
      </c>
      <c r="D139" s="16" t="inlineStr">
        <is>
          <t>Hyogo</t>
        </is>
      </c>
      <c r="E139" s="16" t="inlineStr">
        <is>
          <t>Kobe</t>
        </is>
      </c>
      <c r="F139" s="16" t="inlineStr">
        <is>
          <t>Kitano</t>
        </is>
      </c>
      <c r="G139" s="16" t="inlineStr">
        <is>
          <t>Kobe</t>
        </is>
      </c>
      <c r="H139" s="16" t="inlineStr">
        <is>
          <t>Kobe Kitano Ijinkan</t>
        </is>
      </c>
      <c r="I139" s="16" t="inlineStr">
        <is>
          <t>北野異人館街</t>
        </is>
      </c>
      <c r="J139" s="16" t="inlineStr">
        <is>
          <t>Kobe Kitano Ijinkan</t>
        </is>
      </c>
      <c r="K139" s="16" t="inlineStr">
        <is>
          <t>🏛️ Arquitectura</t>
        </is>
      </c>
      <c r="L139" s="16" t="inlineStr">
        <is>
          <t>barrio/museos</t>
        </is>
      </c>
      <c r="M139" s="16" t="inlineStr">
        <is>
          <t>B</t>
        </is>
      </c>
      <c r="N139" s="16" t="inlineStr">
        <is>
          <t>Interesante por historia portuaria, pero varias casas son caras y algo escenográficas.</t>
        </is>
      </c>
      <c r="O139" s="16" t="inlineStr">
        <is>
          <t>Barrio de residencias extranjeras Meiji en la ladera.</t>
        </is>
      </c>
      <c r="P139" s="16" t="inlineStr">
        <is>
          <t>Explica el Japón de puertos abiertos con arquitectura occidental real.</t>
        </is>
      </c>
      <c r="Q139" s="16" t="inlineStr">
        <is>
          <t>Barrio de residencias extranjeras Meiji en la ladera.</t>
        </is>
      </c>
      <c r="R139" s="16" t="inlineStr">
        <is>
          <t>2–3 h</t>
        </is>
      </c>
      <c r="S139" s="16" t="inlineStr">
        <is>
          <t>Mañana</t>
        </is>
      </c>
      <c r="T139" s="16" t="inlineStr">
        <is>
          <t>Todo el año</t>
        </is>
      </c>
      <c r="U139" s="16" t="inlineStr">
        <is>
          <t>Alto</t>
        </is>
      </c>
      <c r="V139" s="16" t="inlineStr">
        <is>
          <t>Alto</t>
        </is>
      </c>
      <c r="W139" s="89" t="n">
        <v>0</v>
      </c>
      <c r="X139" s="89" t="n">
        <v>3000</v>
      </c>
      <c r="Y139" s="89">
        <f>W139*'Configuración'!$B$4</f>
        <v/>
      </c>
      <c r="Z139" s="89">
        <f>X139*'Configuración'!$B$4</f>
        <v/>
      </c>
      <c r="AA139" s="16" t="inlineStr">
        <is>
          <t>No</t>
        </is>
      </c>
      <c r="AB139" s="16" t="inlineStr">
        <is>
          <t>—</t>
        </is>
      </c>
      <c r="AC139" s="16" t="inlineStr">
        <is>
          <t>Casas aprox. 09:00–18:00</t>
        </is>
      </c>
      <c r="AD139" s="16" t="inlineStr">
        <is>
          <t>Según casa</t>
        </is>
      </c>
      <c r="AE139" s="16" t="inlineStr">
        <is>
          <t>Sannomiya / Shin-Kobe</t>
        </is>
      </c>
      <c r="AF139" s="16" t="inlineStr">
        <is>
          <t>Buena en áreas principales; confirmar detalles con el recinto</t>
        </is>
      </c>
      <c r="AG139" s="90" t="n">
        <v>34.7013</v>
      </c>
      <c r="AH139" s="90" t="n">
        <v>135.189</v>
      </c>
      <c r="AI139" s="16" t="inlineStr">
        <is>
          <t>https://www.feel-kobe.jp/en/</t>
        </is>
      </c>
      <c r="AJ139" s="16" t="inlineStr">
        <is>
          <t>Cambiante</t>
        </is>
      </c>
      <c r="AK139" s="16" t="inlineStr">
        <is>
          <t>HISTORY</t>
        </is>
      </c>
      <c r="AL139" s="16" t="inlineStr">
        <is>
          <t>arquitectura, fotografía, historia</t>
        </is>
      </c>
      <c r="AM139" s="91" t="n">
        <v>4</v>
      </c>
      <c r="AN139" s="91" t="n">
        <v>4</v>
      </c>
      <c r="AO139" s="91" t="n">
        <v>3</v>
      </c>
      <c r="AP139" s="91" t="n">
        <v>4</v>
      </c>
      <c r="AQ139" s="16" t="inlineStr">
        <is>
          <t>Imagen ideal: explica el japón de puertos abiertos con arquitectura occidental real. con luz de mañana, sin multitudes dominando el encuadre.</t>
        </is>
      </c>
      <c r="AR139" s="16" t="inlineStr">
        <is>
          <t>Nunobiki Falls and Herb Gardens (~15 min a pie)</t>
        </is>
      </c>
      <c r="AS139" s="16" t="inlineStr">
        <is>
          <t>Popular / turístico</t>
        </is>
      </c>
      <c r="AT139" s="16" t="str"/>
      <c r="AU139" s="16" t="inlineStr">
        <is>
          <t>https://www.google.com/maps/search/?api=1&amp;query=Kobe%20Kitano%20Ijinkan%2C%20Kobe%2C%20Japan</t>
        </is>
      </c>
      <c r="AV139" s="16" t="inlineStr">
        <is>
          <t>2026-09-01</t>
        </is>
      </c>
      <c r="AW139" s="16" t="inlineStr">
        <is>
          <t>CALENDARIO / CONDICIÓN PENDIENTE</t>
        </is>
      </c>
      <c r="AX139" s="16" t="inlineStr">
        <is>
          <t>No hay cierre específico confirmado para la ventana, pero horarios o acceso pueden variar.</t>
        </is>
      </c>
      <c r="AY139" s="16" t="inlineStr">
        <is>
          <t>Reconfirmar en la web oficial al fijar fechas.</t>
        </is>
      </c>
    </row>
    <row r="140" ht="66" customHeight="1">
      <c r="A140" s="16" t="inlineStr">
        <is>
          <t>JP-139</t>
        </is>
      </c>
      <c r="B140" s="16" t="inlineStr">
        <is>
          <t>Osaka</t>
        </is>
      </c>
      <c r="C140" s="16" t="inlineStr">
        <is>
          <t>Kansai</t>
        </is>
      </c>
      <c r="D140" s="16" t="inlineStr">
        <is>
          <t>Hyogo</t>
        </is>
      </c>
      <c r="E140" s="16" t="inlineStr">
        <is>
          <t>Kobe</t>
        </is>
      </c>
      <c r="F140" s="16" t="inlineStr">
        <is>
          <t>Shin-Kobe</t>
        </is>
      </c>
      <c r="G140" s="16" t="inlineStr">
        <is>
          <t>Kobe</t>
        </is>
      </c>
      <c r="H140" s="16" t="inlineStr">
        <is>
          <t>Nunobiki Falls and Herb Gardens</t>
        </is>
      </c>
      <c r="I140" s="16" t="inlineStr">
        <is>
          <t>布引の滝・布引ハーブ園</t>
        </is>
      </c>
      <c r="J140" s="16" t="inlineStr">
        <is>
          <t>Nunobiki Falls and Herb Gardens</t>
        </is>
      </c>
      <c r="K140" s="16" t="inlineStr">
        <is>
          <t>🌿 Naturaleza</t>
        </is>
      </c>
      <c r="L140" s="16" t="inlineStr">
        <is>
          <t>cascada/jardín/mirador</t>
        </is>
      </c>
      <c r="M140" s="16" t="inlineStr">
        <is>
          <t>A</t>
        </is>
      </c>
      <c r="N140" s="16" t="inlineStr">
        <is>
          <t>Una combinación extraordinariamente accesible de montaña, jardín y vistas sobre el puerto.</t>
        </is>
      </c>
      <c r="O140" s="16" t="inlineStr">
        <is>
          <t>Cascadas a pie desde Shin-Kobe y jardín conectado por teleférico.</t>
        </is>
      </c>
      <c r="P140" s="16" t="inlineStr">
        <is>
          <t>La naturaleza comienza detrás de la estación de Shinkansen.</t>
        </is>
      </c>
      <c r="Q140" s="16" t="inlineStr">
        <is>
          <t>Cascadas a pie desde Shin-Kobe y jardín conectado por teleférico.</t>
        </is>
      </c>
      <c r="R140" s="16" t="inlineStr">
        <is>
          <t>3–5 h</t>
        </is>
      </c>
      <c r="S140" s="16" t="inlineStr">
        <is>
          <t>Mañana</t>
        </is>
      </c>
      <c r="T140" s="16" t="inlineStr">
        <is>
          <t>Primavera y otoño</t>
        </is>
      </c>
      <c r="U140" s="16" t="inlineStr">
        <is>
          <t>Medio</t>
        </is>
      </c>
      <c r="V140" s="16" t="inlineStr">
        <is>
          <t>Medio</t>
        </is>
      </c>
      <c r="W140" s="89" t="n">
        <v>0</v>
      </c>
      <c r="X140" s="89" t="n">
        <v>2000</v>
      </c>
      <c r="Y140" s="89">
        <f>W140*'Configuración'!$B$4</f>
        <v/>
      </c>
      <c r="Z140" s="89">
        <f>X140*'Configuración'!$B$4</f>
        <v/>
      </c>
      <c r="AA140" s="16" t="inlineStr">
        <is>
          <t>No</t>
        </is>
      </c>
      <c r="AB140" s="16" t="inlineStr">
        <is>
          <t>—</t>
        </is>
      </c>
      <c r="AC140" s="16" t="inlineStr">
        <is>
          <t>Sendero abierto; jardín/ropeway variable</t>
        </is>
      </c>
      <c r="AD140" s="16" t="inlineStr">
        <is>
          <t>Clima/mantenimiento</t>
        </is>
      </c>
      <c r="AE140" s="16" t="inlineStr">
        <is>
          <t>Shin-Kobe</t>
        </is>
      </c>
      <c r="AF140" s="16" t="inlineStr">
        <is>
          <t>Parcial o baja; terreno irregular y condiciones naturales</t>
        </is>
      </c>
      <c r="AG140" s="90" t="n">
        <v>34.7108</v>
      </c>
      <c r="AH140" s="90" t="n">
        <v>135.1907</v>
      </c>
      <c r="AI140" s="16" t="inlineStr">
        <is>
          <t>https://www.kobeherb.com/en/</t>
        </is>
      </c>
      <c r="AJ140" s="16" t="inlineStr">
        <is>
          <t>Cambiante</t>
        </is>
      </c>
      <c r="AK140" s="16" t="inlineStr">
        <is>
          <t>NATURE / VIEW</t>
        </is>
      </c>
      <c r="AL140" s="16" t="inlineStr">
        <is>
          <t>pareja, naturaleza, fotografía</t>
        </is>
      </c>
      <c r="AM140" s="91" t="n">
        <v>5</v>
      </c>
      <c r="AN140" s="91" t="n">
        <v>5</v>
      </c>
      <c r="AO140" s="91" t="n">
        <v>5</v>
      </c>
      <c r="AP140" s="91" t="n">
        <v>2</v>
      </c>
      <c r="AQ140" s="16" t="inlineStr">
        <is>
          <t>Imagen ideal: la naturaleza comienza detrás de la estación de shinkansen. con luz de mañana, sin multitudes dominando el encuadre.</t>
        </is>
      </c>
      <c r="AR140" s="16" t="inlineStr">
        <is>
          <t>Kobe Kitano Ijinkan (~15 min a pie)</t>
        </is>
      </c>
      <c r="AS140" s="16" t="inlineStr">
        <is>
          <t>Semi-hidden</t>
        </is>
      </c>
      <c r="AT140" s="16" t="str"/>
      <c r="AU140" s="16" t="inlineStr">
        <is>
          <t>https://www.google.com/maps/search/?api=1&amp;query=Nunobiki%20Falls%20and%20Herb%20Gardens%2C%20Kobe%2C%20Japan</t>
        </is>
      </c>
      <c r="AV140" s="16" t="inlineStr">
        <is>
          <t>2026-09-01</t>
        </is>
      </c>
      <c r="AW140" s="16" t="inlineStr">
        <is>
          <t>RIESGO ESTACIONAL</t>
        </is>
      </c>
      <c r="AX140" s="16" t="inlineStr">
        <is>
          <t>Posibles nieve, hielo, barro, viento, cierres y menos horas de luz.</t>
        </is>
      </c>
      <c r="AY140" s="16" t="inlineStr">
        <is>
          <t>Revisar clima, sendero y último transporte 24–48 h antes.</t>
        </is>
      </c>
    </row>
    <row r="141" ht="66" customHeight="1">
      <c r="A141" s="16" t="inlineStr">
        <is>
          <t>JP-140</t>
        </is>
      </c>
      <c r="B141" s="16" t="inlineStr">
        <is>
          <t>Osaka</t>
        </is>
      </c>
      <c r="C141" s="16" t="inlineStr">
        <is>
          <t>Kansai</t>
        </is>
      </c>
      <c r="D141" s="16" t="inlineStr">
        <is>
          <t>Hyogo</t>
        </is>
      </c>
      <c r="E141" s="16" t="inlineStr">
        <is>
          <t>Kobe</t>
        </is>
      </c>
      <c r="F141" s="16" t="inlineStr">
        <is>
          <t>Rokko</t>
        </is>
      </c>
      <c r="G141" s="16" t="inlineStr">
        <is>
          <t>Kobe</t>
        </is>
      </c>
      <c r="H141" s="16" t="inlineStr">
        <is>
          <t>Mount Rokko night view</t>
        </is>
      </c>
      <c r="I141" s="16" t="inlineStr">
        <is>
          <t>六甲山夜景</t>
        </is>
      </c>
      <c r="J141" s="16" t="inlineStr">
        <is>
          <t>Mount Rokko night view</t>
        </is>
      </c>
      <c r="K141" s="16" t="inlineStr">
        <is>
          <t>🌃 Nocturno</t>
        </is>
      </c>
      <c r="L141" s="16" t="inlineStr">
        <is>
          <t>mirador de montaña</t>
        </is>
      </c>
      <c r="M141" s="16" t="inlineStr">
        <is>
          <t>B</t>
        </is>
      </c>
      <c r="N141" s="16" t="inlineStr">
        <is>
          <t>Una de las tres grandes vistas nocturnas de Japón, con bahía y llanura completa. Clasificación v2: recomendable si encaja; su valor depende más de interés, saturación o logística.</t>
        </is>
      </c>
      <c r="O141" s="16" t="inlineStr">
        <is>
          <t>Miradores sobre Kobe y Osaka desde la cordillera Rokko.</t>
        </is>
      </c>
      <c r="P141" s="16" t="inlineStr">
        <is>
          <t>La escala regional supera a los observatorios del centro.</t>
        </is>
      </c>
      <c r="Q141" s="16" t="inlineStr">
        <is>
          <t>Miradores sobre Kobe y Osaka desde la cordillera Rokko.</t>
        </is>
      </c>
      <c r="R141" s="16" t="inlineStr">
        <is>
          <t>3–4 h</t>
        </is>
      </c>
      <c r="S141" s="16" t="inlineStr">
        <is>
          <t>Noche</t>
        </is>
      </c>
      <c r="T141" s="16" t="inlineStr">
        <is>
          <t>Invierno despejado</t>
        </is>
      </c>
      <c r="U141" s="16" t="inlineStr">
        <is>
          <t>Medio</t>
        </is>
      </c>
      <c r="V141" s="16" t="inlineStr">
        <is>
          <t>Medio</t>
        </is>
      </c>
      <c r="W141" s="89" t="n">
        <v>1000</v>
      </c>
      <c r="X141" s="89" t="n">
        <v>2500</v>
      </c>
      <c r="Y141" s="89">
        <f>W141*'Configuración'!$B$4</f>
        <v/>
      </c>
      <c r="Z141" s="89">
        <f>X141*'Configuración'!$B$4</f>
        <v/>
      </c>
      <c r="AA141" s="16" t="inlineStr">
        <is>
          <t>Recomendable</t>
        </is>
      </c>
      <c r="AB141" s="16" t="inlineStr">
        <is>
          <t>Para transporte/tour, días</t>
        </is>
      </c>
      <c r="AC141" s="16" t="inlineStr">
        <is>
          <t>Ropeway/buses variables</t>
        </is>
      </c>
      <c r="AD141" s="16" t="inlineStr">
        <is>
          <t>Clima</t>
        </is>
      </c>
      <c r="AE141" s="16" t="inlineStr">
        <is>
          <t>Rokko Cable / bus</t>
        </is>
      </c>
      <c r="AF141" s="16" t="inlineStr">
        <is>
          <t>Parcial o baja; terreno irregular y condiciones naturales</t>
        </is>
      </c>
      <c r="AG141" s="90" t="n">
        <v>34.7524</v>
      </c>
      <c r="AH141" s="90" t="n">
        <v>135.2371</v>
      </c>
      <c r="AI141" s="16" t="inlineStr">
        <is>
          <t>https://www.feel-kobe.jp/en/</t>
        </is>
      </c>
      <c r="AJ141" s="16" t="inlineStr">
        <is>
          <t>Cambiante</t>
        </is>
      </c>
      <c r="AK141" s="16" t="inlineStr">
        <is>
          <t>NIGHT VIEW</t>
        </is>
      </c>
      <c r="AL141" s="16" t="inlineStr">
        <is>
          <t>pareja, fotografía, noche</t>
        </is>
      </c>
      <c r="AM141" s="91" t="n">
        <v>5</v>
      </c>
      <c r="AN141" s="91" t="n">
        <v>4</v>
      </c>
      <c r="AO141" s="91" t="n">
        <v>3</v>
      </c>
      <c r="AP141" s="91" t="n">
        <v>2</v>
      </c>
      <c r="AQ141" s="16" t="inlineStr">
        <is>
          <t>Imagen ideal: la escala regional supera a los observatorios del centro. con luz de noche, sin multitudes dominando el encuadre.</t>
        </is>
      </c>
      <c r="AR141" s="16" t="str"/>
      <c r="AS141" s="16" t="inlineStr">
        <is>
          <t>No aplica</t>
        </is>
      </c>
      <c r="AT141" s="16" t="str"/>
      <c r="AU141" s="16" t="inlineStr">
        <is>
          <t>https://www.google.com/maps/search/?api=1&amp;query=Mount%20Rokko%20night%20view%2C%20Kobe%2C%20Japan</t>
        </is>
      </c>
      <c r="AV141" s="16" t="inlineStr">
        <is>
          <t>2026-09-01</t>
        </is>
      </c>
      <c r="AW141" s="16" t="inlineStr">
        <is>
          <t>RIESGO ESTACIONAL</t>
        </is>
      </c>
      <c r="AX141" s="16" t="inlineStr">
        <is>
          <t>Posibles nieve, hielo, barro, viento, cierres y menos horas de luz.</t>
        </is>
      </c>
      <c r="AY141" s="16" t="inlineStr">
        <is>
          <t>Revisar clima, sendero y último transporte 24–48 h antes.</t>
        </is>
      </c>
    </row>
    <row r="142" ht="66" customHeight="1">
      <c r="A142" s="16" t="inlineStr">
        <is>
          <t>JP-141</t>
        </is>
      </c>
      <c r="B142" s="16" t="inlineStr">
        <is>
          <t>Osaka</t>
        </is>
      </c>
      <c r="C142" s="16" t="inlineStr">
        <is>
          <t>Kansai</t>
        </is>
      </c>
      <c r="D142" s="16" t="inlineStr">
        <is>
          <t>Hyogo</t>
        </is>
      </c>
      <c r="E142" s="16" t="inlineStr">
        <is>
          <t>Kobe</t>
        </is>
      </c>
      <c r="F142" s="16" t="inlineStr">
        <is>
          <t>Arima</t>
        </is>
      </c>
      <c r="G142" s="16" t="inlineStr">
        <is>
          <t>Arima Onsen</t>
        </is>
      </c>
      <c r="H142" s="16" t="inlineStr">
        <is>
          <t>Arima Onsen</t>
        </is>
      </c>
      <c r="I142" s="16" t="inlineStr">
        <is>
          <t>有馬温泉</t>
        </is>
      </c>
      <c r="J142" s="16" t="inlineStr">
        <is>
          <t>Arima Onsen</t>
        </is>
      </c>
      <c r="K142" s="16" t="inlineStr">
        <is>
          <t>🧖 Onsen/bienestar</t>
        </is>
      </c>
      <c r="L142" s="16" t="inlineStr">
        <is>
          <t>pueblo onsen</t>
        </is>
      </c>
      <c r="M142" s="16" t="inlineStr">
        <is>
          <t>A</t>
        </is>
      </c>
      <c r="N142" s="16" t="inlineStr">
        <is>
          <t>Aguas minerales únicas y acceso sencillo desde Osaka/Kobe.</t>
        </is>
      </c>
      <c r="O142" s="16" t="inlineStr">
        <is>
          <t>Pueblo termal histórico con baños Kin no Yu y Gin no Yu.</t>
        </is>
      </c>
      <c r="P142" s="16" t="inlineStr">
        <is>
          <t>Dos tipos de agua muy diferentes dentro de un tejido compacto.</t>
        </is>
      </c>
      <c r="Q142" s="16" t="inlineStr">
        <is>
          <t>Pueblo termal histórico con baños Kin no Yu y Gin no Yu.</t>
        </is>
      </c>
      <c r="R142" s="16" t="inlineStr">
        <is>
          <t>Medio día–1 noche</t>
        </is>
      </c>
      <c r="S142" s="16" t="inlineStr">
        <is>
          <t>Tarde</t>
        </is>
      </c>
      <c r="T142" s="16" t="inlineStr">
        <is>
          <t>Invierno y otoño</t>
        </is>
      </c>
      <c r="U142" s="16" t="inlineStr">
        <is>
          <t>Alto</t>
        </is>
      </c>
      <c r="V142" s="16" t="inlineStr">
        <is>
          <t>Alto</t>
        </is>
      </c>
      <c r="W142" s="89" t="n">
        <v>800</v>
      </c>
      <c r="X142" s="89" t="n">
        <v>30000</v>
      </c>
      <c r="Y142" s="89">
        <f>W142*'Configuración'!$B$4</f>
        <v/>
      </c>
      <c r="Z142" s="89">
        <f>X142*'Configuración'!$B$4</f>
        <v/>
      </c>
      <c r="AA142" s="16" t="inlineStr">
        <is>
          <t>Recomendable</t>
        </is>
      </c>
      <c r="AB142" s="16" t="inlineStr">
        <is>
          <t>Semanas/meses para ryokan</t>
        </is>
      </c>
      <c r="AC142" s="16" t="inlineStr">
        <is>
          <t>Baños variables</t>
        </is>
      </c>
      <c r="AD142" s="16" t="inlineStr">
        <is>
          <t>Según baño</t>
        </is>
      </c>
      <c r="AE142" s="16" t="inlineStr">
        <is>
          <t>Kobe Dentetsu Arimaonsen</t>
        </is>
      </c>
      <c r="AF142" s="16" t="inlineStr">
        <is>
          <t>Buena en áreas principales; confirmar detalles con el recinto</t>
        </is>
      </c>
      <c r="AG142" s="90" t="n">
        <v>34.7977</v>
      </c>
      <c r="AH142" s="90" t="n">
        <v>135.2487</v>
      </c>
      <c r="AI142" s="16" t="inlineStr">
        <is>
          <t>https://visit.arima-onsen.com/</t>
        </is>
      </c>
      <c r="AJ142" s="16" t="inlineStr">
        <is>
          <t>Cambiante</t>
        </is>
      </c>
      <c r="AK142" s="16" t="inlineStr">
        <is>
          <t>ONSEN</t>
        </is>
      </c>
      <c r="AL142" s="16" t="inlineStr">
        <is>
          <t>pareja, bienestar, comida</t>
        </is>
      </c>
      <c r="AM142" s="91" t="n">
        <v>4</v>
      </c>
      <c r="AN142" s="91" t="n">
        <v>5</v>
      </c>
      <c r="AO142" s="91" t="n">
        <v>4</v>
      </c>
      <c r="AP142" s="91" t="n">
        <v>4</v>
      </c>
      <c r="AQ142" s="16" t="inlineStr">
        <is>
          <t>Imagen ideal: dos tipos de agua muy diferentes dentro de un tejido compacto. con luz de tarde, sin multitudes dominando el encuadre.</t>
        </is>
      </c>
      <c r="AR142" s="16" t="str"/>
      <c r="AS142" s="16" t="inlineStr">
        <is>
          <t>Popular / turístico</t>
        </is>
      </c>
      <c r="AT142" s="16" t="str"/>
      <c r="AU142" s="16" t="inlineStr">
        <is>
          <t>https://www.google.com/maps/search/?api=1&amp;query=Arima%20Onsen%2C%20Kobe%2C%20Japan</t>
        </is>
      </c>
      <c r="AV142" s="16" t="inlineStr">
        <is>
          <t>2026-09-01</t>
        </is>
      </c>
      <c r="AW142" s="16" t="inlineStr">
        <is>
          <t>CALENDARIO / CONDICIÓN PENDIENTE</t>
        </is>
      </c>
      <c r="AX142" s="16" t="inlineStr">
        <is>
          <t>No hay cierre específico confirmado para la ventana, pero horarios o acceso pueden variar.</t>
        </is>
      </c>
      <c r="AY142" s="16" t="inlineStr">
        <is>
          <t>Reconfirmar en la web oficial al fijar fechas.</t>
        </is>
      </c>
    </row>
    <row r="143" ht="66" customHeight="1">
      <c r="A143" s="16" t="inlineStr">
        <is>
          <t>JP-142</t>
        </is>
      </c>
      <c r="B143" s="16" t="inlineStr">
        <is>
          <t>Osaka</t>
        </is>
      </c>
      <c r="C143" s="16" t="inlineStr">
        <is>
          <t>Kansai</t>
        </is>
      </c>
      <c r="D143" s="16" t="inlineStr">
        <is>
          <t>Hyogo</t>
        </is>
      </c>
      <c r="E143" s="16" t="inlineStr">
        <is>
          <t>Toyooka</t>
        </is>
      </c>
      <c r="F143" s="16" t="inlineStr">
        <is>
          <t>Kinosaki</t>
        </is>
      </c>
      <c r="G143" s="16" t="inlineStr">
        <is>
          <t>Kinosaki Onsen</t>
        </is>
      </c>
      <c r="H143" s="16" t="inlineStr">
        <is>
          <t>Kinosaki Onsen</t>
        </is>
      </c>
      <c r="I143" s="16" t="inlineStr">
        <is>
          <t>城崎温泉</t>
        </is>
      </c>
      <c r="J143" s="16" t="inlineStr">
        <is>
          <t>Kinosaki Onsen</t>
        </is>
      </c>
      <c r="K143" s="16" t="inlineStr">
        <is>
          <t>🧖 Onsen/bienestar</t>
        </is>
      </c>
      <c r="L143" s="16" t="inlineStr">
        <is>
          <t>pueblo onsen</t>
        </is>
      </c>
      <c r="M143" s="16" t="inlineStr">
        <is>
          <t>S</t>
        </is>
      </c>
      <c r="N143" s="16" t="inlineStr">
        <is>
          <t>La cultura de recorrer siete baños en yukata justifica dormir allí.</t>
        </is>
      </c>
      <c r="O143" s="16" t="inlineStr">
        <is>
          <t>Pueblo de canal, ryokan y sotoyu públicos.</t>
        </is>
      </c>
      <c r="P143" s="16" t="inlineStr">
        <is>
          <t>La experiencia completa ocurre de noche y mañana, no en una visita exprés.</t>
        </is>
      </c>
      <c r="Q143" s="16" t="inlineStr">
        <is>
          <t>Pueblo de canal, ryokan y sotoyu públicos.</t>
        </is>
      </c>
      <c r="R143" s="16" t="inlineStr">
        <is>
          <t>1 noche</t>
        </is>
      </c>
      <c r="S143" s="16" t="inlineStr">
        <is>
          <t>Tarde/noche</t>
        </is>
      </c>
      <c r="T143" s="16" t="inlineStr">
        <is>
          <t>Invierno; cangrejo y nieve</t>
        </is>
      </c>
      <c r="U143" s="16" t="inlineStr">
        <is>
          <t>Alto</t>
        </is>
      </c>
      <c r="V143" s="16" t="inlineStr">
        <is>
          <t>Alto</t>
        </is>
      </c>
      <c r="W143" s="89" t="n">
        <v>1500</v>
      </c>
      <c r="X143" s="89" t="n">
        <v>40000</v>
      </c>
      <c r="Y143" s="89">
        <f>W143*'Configuración'!$B$4</f>
        <v/>
      </c>
      <c r="Z143" s="89">
        <f>X143*'Configuración'!$B$4</f>
        <v/>
      </c>
      <c r="AA143" s="16" t="inlineStr">
        <is>
          <t>Sí</t>
        </is>
      </c>
      <c r="AB143" s="16" t="inlineStr">
        <is>
          <t>1–3 meses para ryokan</t>
        </is>
      </c>
      <c r="AC143" s="16" t="inlineStr">
        <is>
          <t>Baños y alojamientos variables</t>
        </is>
      </c>
      <c r="AD143" s="16" t="inlineStr">
        <is>
          <t>Cada baño tiene cierre distinto</t>
        </is>
      </c>
      <c r="AE143" s="16" t="inlineStr">
        <is>
          <t>JR Kinosaki Onsen</t>
        </is>
      </c>
      <c r="AF143" s="16" t="inlineStr">
        <is>
          <t>Buena en áreas principales; confirmar detalles con el recinto</t>
        </is>
      </c>
      <c r="AG143" s="90" t="n">
        <v>35.6257</v>
      </c>
      <c r="AH143" s="90" t="n">
        <v>134.8112</v>
      </c>
      <c r="AI143" s="16" t="inlineStr">
        <is>
          <t>https://visitkinosaki.com/</t>
        </is>
      </c>
      <c r="AJ143" s="16" t="inlineStr">
        <is>
          <t>Cambiante</t>
        </is>
      </c>
      <c r="AK143" s="16" t="inlineStr">
        <is>
          <t>OVERNIGHT / ONSEN</t>
        </is>
      </c>
      <c r="AL143" s="16" t="inlineStr">
        <is>
          <t>pareja, bienestar, comida, fotografía</t>
        </is>
      </c>
      <c r="AM143" s="91" t="n">
        <v>5</v>
      </c>
      <c r="AN143" s="91" t="n">
        <v>5</v>
      </c>
      <c r="AO143" s="91" t="n">
        <v>4</v>
      </c>
      <c r="AP143" s="91" t="n">
        <v>4</v>
      </c>
      <c r="AQ143" s="16" t="inlineStr">
        <is>
          <t>Imagen ideal: la experiencia completa ocurre de noche y mañana, no en una visita exprés. con luz de tarde/noche, sin multitudes dominando el encuadre.</t>
        </is>
      </c>
      <c r="AR143" s="16" t="str"/>
      <c r="AS143" s="16" t="inlineStr">
        <is>
          <t>Popular / turístico</t>
        </is>
      </c>
      <c r="AT143" s="16" t="str"/>
      <c r="AU143" s="16" t="inlineStr">
        <is>
          <t>https://www.google.com/maps/search/?api=1&amp;query=Kinosaki%20Onsen%2C%20Toyooka%2C%20Japan</t>
        </is>
      </c>
      <c r="AV143" s="16" t="inlineStr">
        <is>
          <t>2026-09-01</t>
        </is>
      </c>
      <c r="AW143" s="16" t="inlineStr">
        <is>
          <t>OPORTUNIDAD ESTACIONAL</t>
        </is>
      </c>
      <c r="AX143" s="16" t="inlineStr">
        <is>
          <t>Muy buena época para onsen, ambiente invernal y cangrejo.</t>
        </is>
      </c>
      <c r="AY143" s="16" t="inlineStr">
        <is>
          <t>Reservar ryokan y comprobar cierre semanal de cada baño.</t>
        </is>
      </c>
    </row>
    <row r="144" ht="66" customHeight="1">
      <c r="A144" s="16" t="inlineStr">
        <is>
          <t>JP-143</t>
        </is>
      </c>
      <c r="B144" s="16" t="inlineStr">
        <is>
          <t>Osaka</t>
        </is>
      </c>
      <c r="C144" s="16" t="inlineStr">
        <is>
          <t>Kansai</t>
        </is>
      </c>
      <c r="D144" s="16" t="inlineStr">
        <is>
          <t>Wakayama</t>
        </is>
      </c>
      <c r="E144" s="16" t="inlineStr">
        <is>
          <t>Koya</t>
        </is>
      </c>
      <c r="F144" s="16" t="inlineStr">
        <is>
          <t>Koyasan</t>
        </is>
      </c>
      <c r="G144" s="16" t="inlineStr">
        <is>
          <t>Koyasan</t>
        </is>
      </c>
      <c r="H144" s="16" t="inlineStr">
        <is>
          <t>Koyasan temple stay</t>
        </is>
      </c>
      <c r="I144" s="16" t="inlineStr">
        <is>
          <t>高野山宿坊</t>
        </is>
      </c>
      <c r="J144" s="16" t="inlineStr">
        <is>
          <t>Koyasan temple stay</t>
        </is>
      </c>
      <c r="K144" s="16" t="inlineStr">
        <is>
          <t>🚂 Experiencias especiales</t>
        </is>
      </c>
      <c r="L144" s="16" t="inlineStr">
        <is>
          <t>estancia en templo</t>
        </is>
      </c>
      <c r="M144" s="16" t="inlineStr">
        <is>
          <t>S</t>
        </is>
      </c>
      <c r="N144" s="16" t="inlineStr">
        <is>
          <t>Dormir en shukubo, cenar shojin ryori y asistir a oraciones es una experiencia regional definitoria.</t>
        </is>
      </c>
      <c r="O144" s="16" t="inlineStr">
        <is>
          <t>Hospedaje monástico dentro del centro del budismo Shingon.</t>
        </is>
      </c>
      <c r="P144" s="16" t="inlineStr">
        <is>
          <t>No es solo alojamiento: cambia horarios, comida y relación con el lugar.</t>
        </is>
      </c>
      <c r="Q144" s="16" t="inlineStr">
        <is>
          <t>Hospedaje monástico dentro del centro del budismo Shingon.</t>
        </is>
      </c>
      <c r="R144" s="16" t="inlineStr">
        <is>
          <t>1 noche</t>
        </is>
      </c>
      <c r="S144" s="16" t="inlineStr">
        <is>
          <t>Tarde/madrugada</t>
        </is>
      </c>
      <c r="T144" s="16" t="inlineStr">
        <is>
          <t>Todo el año; invierno atmosférico</t>
        </is>
      </c>
      <c r="U144" s="16" t="inlineStr">
        <is>
          <t>Medio</t>
        </is>
      </c>
      <c r="V144" s="16" t="inlineStr">
        <is>
          <t>Medio</t>
        </is>
      </c>
      <c r="W144" s="89" t="n">
        <v>12000</v>
      </c>
      <c r="X144" s="89" t="n">
        <v>35000</v>
      </c>
      <c r="Y144" s="89">
        <f>W144*'Configuración'!$B$4</f>
        <v/>
      </c>
      <c r="Z144" s="89">
        <f>X144*'Configuración'!$B$4</f>
        <v/>
      </c>
      <c r="AA144" s="16" t="inlineStr">
        <is>
          <t>Sí</t>
        </is>
      </c>
      <c r="AB144" s="16" t="inlineStr">
        <is>
          <t>1–3 meses</t>
        </is>
      </c>
      <c r="AC144" s="16" t="inlineStr">
        <is>
          <t>Según templo</t>
        </is>
      </c>
      <c r="AD144" s="16" t="inlineStr">
        <is>
          <t>Según templo</t>
        </is>
      </c>
      <c r="AE144" s="16" t="inlineStr">
        <is>
          <t>Nankai Koyasan + cable/bus</t>
        </is>
      </c>
      <c r="AF144" s="16" t="inlineStr">
        <is>
          <t>Parcial; pueden existir escalones, grava o edificios sin elevador</t>
        </is>
      </c>
      <c r="AG144" s="90" t="n">
        <v>34.2125</v>
      </c>
      <c r="AH144" s="90" t="n">
        <v>135.5865</v>
      </c>
      <c r="AI144" s="16" t="inlineStr">
        <is>
          <t>https://www.koyasan.or.jp/english/</t>
        </is>
      </c>
      <c r="AJ144" s="16" t="inlineStr">
        <is>
          <t>Cambiante</t>
        </is>
      </c>
      <c r="AK144" s="16" t="inlineStr">
        <is>
          <t>MUST SEE / OVERNIGHT</t>
        </is>
      </c>
      <c r="AL144" s="16" t="inlineStr">
        <is>
          <t>pareja, cultura, bienestar, comida</t>
        </is>
      </c>
      <c r="AM144" s="91" t="n">
        <v>5</v>
      </c>
      <c r="AN144" s="91" t="n">
        <v>5</v>
      </c>
      <c r="AO144" s="91" t="n">
        <v>4</v>
      </c>
      <c r="AP144" s="91" t="n">
        <v>2</v>
      </c>
      <c r="AQ144" s="16" t="inlineStr">
        <is>
          <t>Imagen ideal: no es solo alojamiento: cambia horarios, comida y relación con el lugar. con luz de tarde/madrugada, sin multitudes dominando el encuadre.</t>
        </is>
      </c>
      <c r="AR144" s="16" t="inlineStr">
        <is>
          <t>Okunoin Cemetery (~30 min en transporte)</t>
        </is>
      </c>
      <c r="AS144" s="16" t="inlineStr">
        <is>
          <t>Lugar conocido pero excelente</t>
        </is>
      </c>
      <c r="AT144" s="16" t="str"/>
      <c r="AU144" s="16" t="inlineStr">
        <is>
          <t>https://www.google.com/maps/search/?api=1&amp;query=Koyasan%20temple%20stay%2C%20Koya%2C%20Japan</t>
        </is>
      </c>
      <c r="AV144" s="16" t="inlineStr">
        <is>
          <t>2026-09-01</t>
        </is>
      </c>
      <c r="AW144" s="16" t="inlineStr">
        <is>
          <t>CALENDARIO / CONDICIÓN PENDIENTE</t>
        </is>
      </c>
      <c r="AX144" s="16" t="inlineStr">
        <is>
          <t>No hay cierre específico confirmado para la ventana, pero horarios o acceso pueden variar.</t>
        </is>
      </c>
      <c r="AY144" s="16" t="inlineStr">
        <is>
          <t>Reconfirmar en la web oficial al fijar fechas.</t>
        </is>
      </c>
    </row>
    <row r="145" ht="66" customHeight="1">
      <c r="A145" s="16" t="inlineStr">
        <is>
          <t>JP-144</t>
        </is>
      </c>
      <c r="B145" s="16" t="inlineStr">
        <is>
          <t>Osaka</t>
        </is>
      </c>
      <c r="C145" s="16" t="inlineStr">
        <is>
          <t>Kansai</t>
        </is>
      </c>
      <c r="D145" s="16" t="inlineStr">
        <is>
          <t>Wakayama</t>
        </is>
      </c>
      <c r="E145" s="16" t="inlineStr">
        <is>
          <t>Koya</t>
        </is>
      </c>
      <c r="F145" s="16" t="inlineStr">
        <is>
          <t>Koyasan</t>
        </is>
      </c>
      <c r="G145" s="16" t="inlineStr">
        <is>
          <t>Koyasan</t>
        </is>
      </c>
      <c r="H145" s="16" t="inlineStr">
        <is>
          <t>Okunoin Cemetery</t>
        </is>
      </c>
      <c r="I145" s="16" t="inlineStr">
        <is>
          <t>奥之院</t>
        </is>
      </c>
      <c r="J145" s="16" t="inlineStr">
        <is>
          <t>Okunoin Cemetery</t>
        </is>
      </c>
      <c r="K145" s="16" t="inlineStr">
        <is>
          <t>⛩️ Templos y santuarios</t>
        </is>
      </c>
      <c r="L145" s="16" t="inlineStr">
        <is>
          <t>cementerio/sendero sagrado</t>
        </is>
      </c>
      <c r="M145" s="16" t="inlineStr">
        <is>
          <t>S</t>
        </is>
      </c>
      <c r="N145" s="16" t="inlineStr">
        <is>
          <t>Uno de los paseos espirituales más poderosos de Japón, especialmente al amanecer o anochecer.</t>
        </is>
      </c>
      <c r="O145" s="16" t="inlineStr">
        <is>
          <t>Sendero de cedros entre más de 200,000 tumbas hacia el mausoleo de Kobo Daishi.</t>
        </is>
      </c>
      <c r="P145" s="16" t="inlineStr">
        <is>
          <t>Historia, escala natural y creencia viva se superponen.</t>
        </is>
      </c>
      <c r="Q145" s="16" t="inlineStr">
        <is>
          <t>Sendero de cedros entre más de 200,000 tumbas hacia el mausoleo de Kobo Daishi.</t>
        </is>
      </c>
      <c r="R145" s="16" t="inlineStr">
        <is>
          <t>2–3 h</t>
        </is>
      </c>
      <c r="S145" s="16" t="inlineStr">
        <is>
          <t>Mañana</t>
        </is>
      </c>
      <c r="T145" s="16" t="inlineStr">
        <is>
          <t>Todo el año</t>
        </is>
      </c>
      <c r="U145" s="16" t="inlineStr">
        <is>
          <t>Medio</t>
        </is>
      </c>
      <c r="V145" s="16" t="inlineStr">
        <is>
          <t>Medio</t>
        </is>
      </c>
      <c r="W145" s="89" t="n">
        <v>0</v>
      </c>
      <c r="X145" s="89" t="n">
        <v>0</v>
      </c>
      <c r="Y145" s="89">
        <f>W145*'Configuración'!$B$4</f>
        <v/>
      </c>
      <c r="Z145" s="89">
        <f>X145*'Configuración'!$B$4</f>
        <v/>
      </c>
      <c r="AA145" s="16" t="inlineStr">
        <is>
          <t>No</t>
        </is>
      </c>
      <c r="AB145" s="16" t="inlineStr">
        <is>
          <t>—</t>
        </is>
      </c>
      <c r="AC145" s="16" t="inlineStr">
        <is>
          <t>Sendero 24 h; salón diurno</t>
        </is>
      </c>
      <c r="AD145" s="16" t="inlineStr">
        <is>
          <t>Sin cierre ordinario</t>
        </is>
      </c>
      <c r="AE145" s="16" t="inlineStr">
        <is>
          <t>Bus Okunoin-mae / Ichinohashi</t>
        </is>
      </c>
      <c r="AF145" s="16" t="inlineStr">
        <is>
          <t>Parcial o baja; terreno irregular y condiciones naturales</t>
        </is>
      </c>
      <c r="AG145" s="90" t="n">
        <v>34.2234</v>
      </c>
      <c r="AH145" s="90" t="n">
        <v>135.6054</v>
      </c>
      <c r="AI145" s="16" t="inlineStr">
        <is>
          <t>https://www.koyasan.or.jp/english/</t>
        </is>
      </c>
      <c r="AJ145" s="16" t="inlineStr">
        <is>
          <t>Cambiante</t>
        </is>
      </c>
      <c r="AK145" s="16" t="inlineStr">
        <is>
          <t>MUST SEE</t>
        </is>
      </c>
      <c r="AL145" s="16" t="inlineStr">
        <is>
          <t>cultura, fotografía, naturaleza</t>
        </is>
      </c>
      <c r="AM145" s="91" t="n">
        <v>5</v>
      </c>
      <c r="AN145" s="91" t="n">
        <v>5</v>
      </c>
      <c r="AO145" s="91" t="n">
        <v>5</v>
      </c>
      <c r="AP145" s="91" t="n">
        <v>2</v>
      </c>
      <c r="AQ145" s="16" t="inlineStr">
        <is>
          <t>Imagen ideal: historia, escala natural y creencia viva se superponen. con luz de mañana, sin multitudes dominando el encuadre.</t>
        </is>
      </c>
      <c r="AR145" s="16" t="inlineStr">
        <is>
          <t>Koyasan temple stay (~30 min en transporte)</t>
        </is>
      </c>
      <c r="AS145" s="16" t="inlineStr">
        <is>
          <t>Lugar conocido pero excelente</t>
        </is>
      </c>
      <c r="AT145" s="16" t="str"/>
      <c r="AU145" s="16" t="inlineStr">
        <is>
          <t>https://www.google.com/maps/search/?api=1&amp;query=Okunoin%20Cemetery%2C%20Koya%2C%20Japan</t>
        </is>
      </c>
      <c r="AV145" s="16" t="inlineStr">
        <is>
          <t>2026-09-01</t>
        </is>
      </c>
      <c r="AW145" s="16" t="inlineStr">
        <is>
          <t>RIESGO ESTACIONAL</t>
        </is>
      </c>
      <c r="AX145" s="16" t="inlineStr">
        <is>
          <t>Posibles nieve, hielo, barro, viento, cierres y menos horas de luz.</t>
        </is>
      </c>
      <c r="AY145" s="16" t="inlineStr">
        <is>
          <t>Revisar clima, sendero y último transporte 24–48 h antes.</t>
        </is>
      </c>
    </row>
    <row r="146" ht="66" customHeight="1">
      <c r="A146" s="16" t="inlineStr">
        <is>
          <t>JP-145</t>
        </is>
      </c>
      <c r="B146" s="16" t="inlineStr">
        <is>
          <t>Osaka</t>
        </is>
      </c>
      <c r="C146" s="16" t="inlineStr">
        <is>
          <t>Kansai</t>
        </is>
      </c>
      <c r="D146" s="16" t="inlineStr">
        <is>
          <t>Wakayama</t>
        </is>
      </c>
      <c r="E146" s="16" t="inlineStr">
        <is>
          <t>Nachikatsuura</t>
        </is>
      </c>
      <c r="F146" s="16" t="inlineStr">
        <is>
          <t>Nachi</t>
        </is>
      </c>
      <c r="G146" s="16" t="inlineStr">
        <is>
          <t>Kumano</t>
        </is>
      </c>
      <c r="H146" s="16" t="inlineStr">
        <is>
          <t>Kumano Nachi Taisha + Nachi Falls</t>
        </is>
      </c>
      <c r="I146" s="16" t="inlineStr">
        <is>
          <t>熊野那智大社・那智の滝</t>
        </is>
      </c>
      <c r="J146" s="16" t="inlineStr">
        <is>
          <t>Kumano Nachi Taisha + Nachi Falls</t>
        </is>
      </c>
      <c r="K146" s="16" t="inlineStr">
        <is>
          <t>🌿 Naturaleza</t>
        </is>
      </c>
      <c r="L146" s="16" t="inlineStr">
        <is>
          <t>santuario/cascada</t>
        </is>
      </c>
      <c r="M146" s="16" t="inlineStr">
        <is>
          <t>S</t>
        </is>
      </c>
      <c r="N146" s="16" t="inlineStr">
        <is>
          <t>La composición de pagoda, bosque y cascada es una de las imágenes naturales más potentes del país.</t>
        </is>
      </c>
      <c r="O146" s="16" t="inlineStr">
        <is>
          <t>Santuario Kumano junto a una cascada sagrada de 133 m.</t>
        </is>
      </c>
      <c r="P146" s="16" t="inlineStr">
        <is>
          <t>La geografía es parte del culto, no un fondo decorativo.</t>
        </is>
      </c>
      <c r="Q146" s="16" t="inlineStr">
        <is>
          <t>Santuario Kumano junto a una cascada sagrada de 133 m.</t>
        </is>
      </c>
      <c r="R146" s="16" t="inlineStr">
        <is>
          <t>Medio día</t>
        </is>
      </c>
      <c r="S146" s="16" t="inlineStr">
        <is>
          <t>Mañana</t>
        </is>
      </c>
      <c r="T146" s="16" t="inlineStr">
        <is>
          <t>Todo el año; temporada verde</t>
        </is>
      </c>
      <c r="U146" s="16" t="inlineStr">
        <is>
          <t>Alto</t>
        </is>
      </c>
      <c r="V146" s="16" t="inlineStr">
        <is>
          <t>Medio</t>
        </is>
      </c>
      <c r="W146" s="89" t="n">
        <v>0</v>
      </c>
      <c r="X146" s="89" t="n">
        <v>500</v>
      </c>
      <c r="Y146" s="89">
        <f>W146*'Configuración'!$B$4</f>
        <v/>
      </c>
      <c r="Z146" s="89">
        <f>X146*'Configuración'!$B$4</f>
        <v/>
      </c>
      <c r="AA146" s="16" t="inlineStr">
        <is>
          <t>No</t>
        </is>
      </c>
      <c r="AB146" s="16" t="inlineStr">
        <is>
          <t>—</t>
        </is>
      </c>
      <c r="AC146" s="16" t="inlineStr">
        <is>
          <t>Recintos diurnos</t>
        </is>
      </c>
      <c r="AD146" s="16" t="inlineStr">
        <is>
          <t>Clima</t>
        </is>
      </c>
      <c r="AE146" s="16" t="inlineStr">
        <is>
          <t>Kii-Katsuura + bus</t>
        </is>
      </c>
      <c r="AF146" s="16" t="inlineStr">
        <is>
          <t>Parcial o baja; terreno irregular y condiciones naturales</t>
        </is>
      </c>
      <c r="AG146" s="90" t="n">
        <v>33.6684</v>
      </c>
      <c r="AH146" s="90" t="n">
        <v>135.89</v>
      </c>
      <c r="AI146" s="16" t="inlineStr">
        <is>
          <t>https://en.visitwakayama.jp/venues/venue_68/</t>
        </is>
      </c>
      <c r="AJ146" s="16" t="inlineStr">
        <is>
          <t>Cambiante</t>
        </is>
      </c>
      <c r="AK146" s="16" t="inlineStr">
        <is>
          <t>MUST SEE / OVERNIGHT</t>
        </is>
      </c>
      <c r="AL146" s="16" t="inlineStr">
        <is>
          <t>naturaleza, cultura, fotografía</t>
        </is>
      </c>
      <c r="AM146" s="91" t="n">
        <v>5</v>
      </c>
      <c r="AN146" s="91" t="n">
        <v>5</v>
      </c>
      <c r="AO146" s="91" t="n">
        <v>3</v>
      </c>
      <c r="AP146" s="91" t="n">
        <v>3</v>
      </c>
      <c r="AQ146" s="16" t="inlineStr">
        <is>
          <t>Imagen ideal: la geografía es parte del culto, no un fondo decorativo. con luz de mañana, sin multitudes dominando el encuadre.</t>
        </is>
      </c>
      <c r="AR146" s="16" t="str"/>
      <c r="AS146" s="16" t="inlineStr">
        <is>
          <t>Lugar conocido pero excelente</t>
        </is>
      </c>
      <c r="AT146" s="16" t="str"/>
      <c r="AU146" s="16" t="inlineStr">
        <is>
          <t>https://www.google.com/maps/search/?api=1&amp;query=Kumano%20Nachi%20Taisha%20%2B%20Nachi%20Falls%2C%20Nachikatsuura%2C%20Japan</t>
        </is>
      </c>
      <c r="AV146" s="16" t="inlineStr">
        <is>
          <t>2026-09-01</t>
        </is>
      </c>
      <c r="AW146" s="16" t="inlineStr">
        <is>
          <t>RIESGO ESTACIONAL</t>
        </is>
      </c>
      <c r="AX146" s="16" t="inlineStr">
        <is>
          <t>Posibles nieve, hielo, barro, viento, cierres y menos horas de luz.</t>
        </is>
      </c>
      <c r="AY146" s="16" t="inlineStr">
        <is>
          <t>Revisar clima, sendero y último transporte 24–48 h antes.</t>
        </is>
      </c>
    </row>
    <row r="147" ht="66" customHeight="1">
      <c r="A147" s="16" t="inlineStr">
        <is>
          <t>JP-146</t>
        </is>
      </c>
      <c r="B147" s="16" t="inlineStr">
        <is>
          <t>Osaka</t>
        </is>
      </c>
      <c r="C147" s="16" t="inlineStr">
        <is>
          <t>Kansai</t>
        </is>
      </c>
      <c r="D147" s="16" t="inlineStr">
        <is>
          <t>Wakayama</t>
        </is>
      </c>
      <c r="E147" s="16" t="inlineStr">
        <is>
          <t>Wakayama</t>
        </is>
      </c>
      <c r="F147" s="16" t="inlineStr">
        <is>
          <t>Kada</t>
        </is>
      </c>
      <c r="G147" s="16" t="inlineStr">
        <is>
          <t>Wakayama Coast</t>
        </is>
      </c>
      <c r="H147" s="16" t="inlineStr">
        <is>
          <t>Tomogashima</t>
        </is>
      </c>
      <c r="I147" s="16" t="inlineStr">
        <is>
          <t>友ヶ島</t>
        </is>
      </c>
      <c r="J147" s="16" t="inlineStr">
        <is>
          <t>Tomogashima</t>
        </is>
      </c>
      <c r="K147" s="16" t="inlineStr">
        <is>
          <t>🧩 Extraño/peculiar/único</t>
        </is>
      </c>
      <c r="L147" s="16" t="inlineStr">
        <is>
          <t>isla/ruinas</t>
        </is>
      </c>
      <c r="M147" s="16" t="inlineStr">
        <is>
          <t>A</t>
        </is>
      </c>
      <c r="N147" s="16" t="inlineStr">
        <is>
          <t>Ruinas militares cubiertas por bosque ofrecen una atmósfera legalmente visitable y extraordinaria. Clasificación v2: excelente y muy recomendable, pero no justifica por sí sola adaptar la ruta.</t>
        </is>
      </c>
      <c r="O147" s="16" t="inlineStr">
        <is>
          <t>Isla con baterías de ladrillo Meiji, túneles y costa.</t>
        </is>
      </c>
      <c r="P147" s="16" t="inlineStr">
        <is>
          <t>Parece un escenario abandonado, pero cuenta con rutas oficiales.</t>
        </is>
      </c>
      <c r="Q147" s="16" t="inlineStr">
        <is>
          <t>Isla con baterías de ladrillo Meiji, túneles y costa.</t>
        </is>
      </c>
      <c r="R147" s="16" t="inlineStr">
        <is>
          <t>Día completo</t>
        </is>
      </c>
      <c r="S147" s="16" t="inlineStr">
        <is>
          <t>Mañana</t>
        </is>
      </c>
      <c r="T147" s="16" t="inlineStr">
        <is>
          <t>Primavera y otoño; mar estable</t>
        </is>
      </c>
      <c r="U147" s="16" t="inlineStr">
        <is>
          <t>Medio</t>
        </is>
      </c>
      <c r="V147" s="16" t="inlineStr">
        <is>
          <t>Bajo</t>
        </is>
      </c>
      <c r="W147" s="89" t="n">
        <v>2200</v>
      </c>
      <c r="X147" s="89" t="n">
        <v>2200</v>
      </c>
      <c r="Y147" s="89">
        <f>W147*'Configuración'!$B$4</f>
        <v/>
      </c>
      <c r="Z147" s="89">
        <f>X147*'Configuración'!$B$4</f>
        <v/>
      </c>
      <c r="AA147" s="16" t="inlineStr">
        <is>
          <t>Recomendable</t>
        </is>
      </c>
      <c r="AB147" s="16" t="inlineStr">
        <is>
          <t>Días; ferry puede llenarse</t>
        </is>
      </c>
      <c r="AC147" s="16" t="inlineStr">
        <is>
          <t>Ferry estacional y meteorológico</t>
        </is>
      </c>
      <c r="AD147" s="16" t="inlineStr">
        <is>
          <t>Mal tiempo/invierno variable</t>
        </is>
      </c>
      <c r="AE147" s="16" t="inlineStr">
        <is>
          <t>Nankai Kada + ferry</t>
        </is>
      </c>
      <c r="AF147" s="16" t="inlineStr">
        <is>
          <t>Parcial o baja; terreno irregular y condiciones naturales</t>
        </is>
      </c>
      <c r="AG147" s="90" t="n">
        <v>34.2845</v>
      </c>
      <c r="AH147" s="90" t="n">
        <v>135.0268</v>
      </c>
      <c r="AI147" s="16" t="inlineStr">
        <is>
          <t>https://en.visitwakayama.jp/venues/venue_43/</t>
        </is>
      </c>
      <c r="AJ147" s="16" t="inlineStr">
        <is>
          <t>Cambiante</t>
        </is>
      </c>
      <c r="AK147" s="16" t="inlineStr">
        <is>
          <t>HIDDEN GEM / UNIQUE</t>
        </is>
      </c>
      <c r="AL147" s="16" t="inlineStr">
        <is>
          <t>aventura, fotografía, historia</t>
        </is>
      </c>
      <c r="AM147" s="91" t="n">
        <v>5</v>
      </c>
      <c r="AN147" s="91" t="n">
        <v>5</v>
      </c>
      <c r="AO147" s="91" t="n">
        <v>4</v>
      </c>
      <c r="AP147" s="91" t="n">
        <v>1</v>
      </c>
      <c r="AQ147" s="16" t="inlineStr">
        <is>
          <t>Imagen ideal: parece un escenario abandonado, pero cuenta con rutas oficiales. con luz de mañana, sin multitudes dominando el encuadre.</t>
        </is>
      </c>
      <c r="AR147" s="16" t="str"/>
      <c r="AS147" s="16" t="inlineStr">
        <is>
          <t>Hidden Gem real</t>
        </is>
      </c>
      <c r="AT147" s="16" t="str"/>
      <c r="AU147" s="16" t="inlineStr">
        <is>
          <t>https://www.google.com/maps/search/?api=1&amp;query=Tomogashima%2C%20Wakayama%2C%20Japan</t>
        </is>
      </c>
      <c r="AV147" s="16" t="inlineStr">
        <is>
          <t>2026-09-01</t>
        </is>
      </c>
      <c r="AW147" s="16" t="inlineStr">
        <is>
          <t>CALENDARIO / CONDICIÓN PENDIENTE</t>
        </is>
      </c>
      <c r="AX147" s="16" t="inlineStr">
        <is>
          <t>No hay cierre específico confirmado para la ventana, pero horarios o acceso pueden variar.</t>
        </is>
      </c>
      <c r="AY147" s="16" t="inlineStr">
        <is>
          <t>Reconfirmar en la web oficial al fijar fechas.</t>
        </is>
      </c>
    </row>
    <row r="148" ht="66" customHeight="1">
      <c r="A148" s="16" t="inlineStr">
        <is>
          <t>JP-147</t>
        </is>
      </c>
      <c r="B148" s="16" t="inlineStr">
        <is>
          <t>Osaka</t>
        </is>
      </c>
      <c r="C148" s="16" t="inlineStr">
        <is>
          <t>Kansai</t>
        </is>
      </c>
      <c r="D148" s="16" t="inlineStr">
        <is>
          <t>Shiga</t>
        </is>
      </c>
      <c r="E148" s="16" t="inlineStr">
        <is>
          <t>Otsu</t>
        </is>
      </c>
      <c r="F148" s="16" t="inlineStr">
        <is>
          <t>Mt Hiei</t>
        </is>
      </c>
      <c r="G148" s="16" t="inlineStr">
        <is>
          <t>Lake Biwa</t>
        </is>
      </c>
      <c r="H148" s="16" t="inlineStr">
        <is>
          <t>Enryaku-ji</t>
        </is>
      </c>
      <c r="I148" s="16" t="inlineStr">
        <is>
          <t>延暦寺</t>
        </is>
      </c>
      <c r="J148" s="16" t="inlineStr">
        <is>
          <t>Enryaku-ji</t>
        </is>
      </c>
      <c r="K148" s="16" t="inlineStr">
        <is>
          <t>⛩️ Templos y santuarios</t>
        </is>
      </c>
      <c r="L148" s="16" t="inlineStr">
        <is>
          <t>complejo monástico</t>
        </is>
      </c>
      <c r="M148" s="16" t="inlineStr">
        <is>
          <t>A</t>
        </is>
      </c>
      <c r="N148" s="16" t="inlineStr">
        <is>
          <t>Montaña sagrada de enorme influencia histórica con vistas sobre Biwa y Kioto. Clasificación v2: excelente y muy recomendable, pero no justifica por sí sola adaptar la ruta.</t>
        </is>
      </c>
      <c r="O148" s="16" t="inlineStr">
        <is>
          <t>Sede Tendai distribuida por el monte Hiei.</t>
        </is>
      </c>
      <c r="P148" s="16" t="inlineStr">
        <is>
          <t>El paisaje regional y la escala monástica justifican el traslado.</t>
        </is>
      </c>
      <c r="Q148" s="16" t="inlineStr">
        <is>
          <t>Sede Tendai distribuida por el monte Hiei.</t>
        </is>
      </c>
      <c r="R148" s="16" t="inlineStr">
        <is>
          <t>Medio día–día completo</t>
        </is>
      </c>
      <c r="S148" s="16" t="inlineStr">
        <is>
          <t>Mañana</t>
        </is>
      </c>
      <c r="T148" s="16" t="inlineStr">
        <is>
          <t>Otoño</t>
        </is>
      </c>
      <c r="U148" s="16" t="inlineStr">
        <is>
          <t>Medio</t>
        </is>
      </c>
      <c r="V148" s="16" t="inlineStr">
        <is>
          <t>Medio</t>
        </is>
      </c>
      <c r="W148" s="89" t="n">
        <v>1000</v>
      </c>
      <c r="X148" s="89" t="n">
        <v>1000</v>
      </c>
      <c r="Y148" s="89">
        <f>W148*'Configuración'!$B$4</f>
        <v/>
      </c>
      <c r="Z148" s="89">
        <f>X148*'Configuración'!$B$4</f>
        <v/>
      </c>
      <c r="AA148" s="16" t="inlineStr">
        <is>
          <t>No</t>
        </is>
      </c>
      <c r="AB148" s="16" t="inlineStr">
        <is>
          <t>—</t>
        </is>
      </c>
      <c r="AC148" s="16" t="inlineStr">
        <is>
          <t>08:30–16:30 aprox.</t>
        </is>
      </c>
      <c r="AD148" s="16" t="inlineStr">
        <is>
          <t>Clima/mantenimiento</t>
        </is>
      </c>
      <c r="AE148" s="16" t="inlineStr">
        <is>
          <t>Cablecar desde Kyoto u Otsu + buses</t>
        </is>
      </c>
      <c r="AF148" s="16" t="inlineStr">
        <is>
          <t>Buena en áreas principales; confirmar detalles con el recinto</t>
        </is>
      </c>
      <c r="AG148" s="90" t="n">
        <v>35.0704</v>
      </c>
      <c r="AH148" s="90" t="n">
        <v>135.8411</v>
      </c>
      <c r="AI148" s="16" t="inlineStr">
        <is>
          <t>https://www.hieizan.or.jp/_att/english.pdf</t>
        </is>
      </c>
      <c r="AJ148" s="16" t="inlineStr">
        <is>
          <t>Cambiante</t>
        </is>
      </c>
      <c r="AK148" s="16" t="inlineStr">
        <is>
          <t>HISTORY / NATURE</t>
        </is>
      </c>
      <c r="AL148" s="16" t="inlineStr">
        <is>
          <t>cultura, naturaleza, fotografía</t>
        </is>
      </c>
      <c r="AM148" s="91" t="n">
        <v>5</v>
      </c>
      <c r="AN148" s="91" t="n">
        <v>5</v>
      </c>
      <c r="AO148" s="91" t="n">
        <v>4</v>
      </c>
      <c r="AP148" s="91" t="n">
        <v>2</v>
      </c>
      <c r="AQ148" s="16" t="inlineStr">
        <is>
          <t>Imagen ideal: el paisaje regional y la escala monástica justifican el traslado. con luz de mañana, sin multitudes dominando el encuadre.</t>
        </is>
      </c>
      <c r="AR148" s="16" t="str"/>
      <c r="AS148" s="16" t="inlineStr">
        <is>
          <t>Lugar conocido pero excelente</t>
        </is>
      </c>
      <c r="AT148" s="16" t="str"/>
      <c r="AU148" s="16" t="inlineStr">
        <is>
          <t>https://www.google.com/maps/search/?api=1&amp;query=Enryaku-ji%2C%20Otsu%2C%20Japan</t>
        </is>
      </c>
      <c r="AV148" s="16" t="inlineStr">
        <is>
          <t>2026-09-01</t>
        </is>
      </c>
      <c r="AW148" s="16" t="inlineStr">
        <is>
          <t>OBRAS ACTIVAS</t>
        </is>
      </c>
      <c r="AX148" s="16" t="inlineStr">
        <is>
          <t>La restauración de Konpon Chudo continúa; el complejo permanece visitable.</t>
        </is>
      </c>
      <c r="AY148" s="16" t="inlineStr">
        <is>
          <t>Confirmar interiores y andamios accesibles.</t>
        </is>
      </c>
    </row>
    <row r="149" ht="66" customHeight="1">
      <c r="A149" s="16" t="inlineStr">
        <is>
          <t>JP-148</t>
        </is>
      </c>
      <c r="B149" s="16" t="inlineStr">
        <is>
          <t>Osaka</t>
        </is>
      </c>
      <c r="C149" s="16" t="inlineStr">
        <is>
          <t>Kansai</t>
        </is>
      </c>
      <c r="D149" s="16" t="inlineStr">
        <is>
          <t>Shiga</t>
        </is>
      </c>
      <c r="E149" s="16" t="inlineStr">
        <is>
          <t>Hikone</t>
        </is>
      </c>
      <c r="F149" s="16" t="inlineStr">
        <is>
          <t>Hikone</t>
        </is>
      </c>
      <c r="G149" s="16" t="inlineStr">
        <is>
          <t>Lake Biwa</t>
        </is>
      </c>
      <c r="H149" s="16" t="inlineStr">
        <is>
          <t>Hikone Castle</t>
        </is>
      </c>
      <c r="I149" s="16" t="inlineStr">
        <is>
          <t>彦根城</t>
        </is>
      </c>
      <c r="J149" s="16" t="inlineStr">
        <is>
          <t>Hikone Castle</t>
        </is>
      </c>
      <c r="K149" s="16" t="inlineStr">
        <is>
          <t>🏯 Historia y patrimonio</t>
        </is>
      </c>
      <c r="L149" s="16" t="inlineStr">
        <is>
          <t>castillo</t>
        </is>
      </c>
      <c r="M149" s="16" t="inlineStr">
        <is>
          <t>A</t>
        </is>
      </c>
      <c r="N149" s="16" t="inlineStr">
        <is>
          <t>Castillo original y mucho menos saturado que Himeji, con excelente jardín.</t>
        </is>
      </c>
      <c r="O149" s="16" t="inlineStr">
        <is>
          <t>Una de las doce torres originales, junto al lago Biwa.</t>
        </is>
      </c>
      <c r="P149" s="16" t="inlineStr">
        <is>
          <t>Escala íntima y autenticidad sin enormes filas.</t>
        </is>
      </c>
      <c r="Q149" s="16" t="inlineStr">
        <is>
          <t>Una de las doce torres originales, junto al lago Biwa.</t>
        </is>
      </c>
      <c r="R149" s="16" t="inlineStr">
        <is>
          <t>3–4 h</t>
        </is>
      </c>
      <c r="S149" s="16" t="inlineStr">
        <is>
          <t>Mañana</t>
        </is>
      </c>
      <c r="T149" s="16" t="inlineStr">
        <is>
          <t>Sakura y otoño</t>
        </is>
      </c>
      <c r="U149" s="16" t="inlineStr">
        <is>
          <t>Medio</t>
        </is>
      </c>
      <c r="V149" s="16" t="inlineStr">
        <is>
          <t>Medio</t>
        </is>
      </c>
      <c r="W149" s="89" t="n">
        <v>1200</v>
      </c>
      <c r="X149" s="89" t="n">
        <v>1200</v>
      </c>
      <c r="Y149" s="89">
        <f>W149*'Configuración'!$B$4</f>
        <v/>
      </c>
      <c r="Z149" s="89">
        <f>X149*'Configuración'!$B$4</f>
        <v/>
      </c>
      <c r="AA149" s="16" t="inlineStr">
        <is>
          <t>No</t>
        </is>
      </c>
      <c r="AB149" s="16" t="inlineStr">
        <is>
          <t>—</t>
        </is>
      </c>
      <c r="AC149" s="16" t="inlineStr">
        <is>
          <t>08:30–17:00 aprox.</t>
        </is>
      </c>
      <c r="AD149" s="16" t="inlineStr">
        <is>
          <t>Sin cierre ordinario</t>
        </is>
      </c>
      <c r="AE149" s="16" t="inlineStr">
        <is>
          <t>JR Hikone</t>
        </is>
      </c>
      <c r="AF149" s="16" t="inlineStr">
        <is>
          <t>Parcial; pueden existir escalones, grava o edificios sin elevador</t>
        </is>
      </c>
      <c r="AG149" s="90" t="n">
        <v>35.2764</v>
      </c>
      <c r="AH149" s="90" t="n">
        <v>136.2518</v>
      </c>
      <c r="AI149" s="16" t="inlineStr">
        <is>
          <t>https://visit.hikoneshi.com/en/</t>
        </is>
      </c>
      <c r="AJ149" s="16" t="inlineStr">
        <is>
          <t>Cambiante</t>
        </is>
      </c>
      <c r="AK149" s="16" t="inlineStr">
        <is>
          <t>ALTERNATIVE CASTLE</t>
        </is>
      </c>
      <c r="AL149" s="16" t="inlineStr">
        <is>
          <t>historia, fotografía, jardines</t>
        </is>
      </c>
      <c r="AM149" s="91" t="n">
        <v>5</v>
      </c>
      <c r="AN149" s="91" t="n">
        <v>5</v>
      </c>
      <c r="AO149" s="91" t="n">
        <v>5</v>
      </c>
      <c r="AP149" s="91" t="n">
        <v>2</v>
      </c>
      <c r="AQ149" s="16" t="inlineStr">
        <is>
          <t>Imagen ideal: escala íntima y autenticidad sin enormes filas. con luz de mañana, sin multitudes dominando el encuadre.</t>
        </is>
      </c>
      <c r="AR149" s="16" t="str"/>
      <c r="AS149" s="16" t="inlineStr">
        <is>
          <t>Alternativa menos saturada</t>
        </is>
      </c>
      <c r="AT149" s="16" t="inlineStr">
        <is>
          <t>Himeji Castle</t>
        </is>
      </c>
      <c r="AU149" s="16" t="inlineStr">
        <is>
          <t>https://www.google.com/maps/search/?api=1&amp;query=Hikone%20Castle%2C%20Hikone%2C%20Japan</t>
        </is>
      </c>
      <c r="AV149" s="16" t="inlineStr">
        <is>
          <t>2026-09-01</t>
        </is>
      </c>
      <c r="AW149" s="16" t="inlineStr">
        <is>
          <t>ABIERTO; FLORACIÓN NO GARANTIZADA</t>
        </is>
      </c>
      <c r="AX149" s="16" t="inlineStr">
        <is>
          <t>En Japón central la floración plena suele ser más tardía; finales de marzo es incierto.</t>
        </is>
      </c>
      <c r="AY149" s="16" t="inlineStr">
        <is>
          <t>No basar la visita en sakura hasta el pronóstico 2027.</t>
        </is>
      </c>
    </row>
    <row r="150" ht="66" customHeight="1">
      <c r="A150" s="16" t="inlineStr">
        <is>
          <t>JP-149</t>
        </is>
      </c>
      <c r="B150" s="16" t="inlineStr">
        <is>
          <t>Osaka</t>
        </is>
      </c>
      <c r="C150" s="16" t="inlineStr">
        <is>
          <t>Kansai</t>
        </is>
      </c>
      <c r="D150" s="16" t="inlineStr">
        <is>
          <t>Shiga</t>
        </is>
      </c>
      <c r="E150" s="16" t="inlineStr">
        <is>
          <t>Koka</t>
        </is>
      </c>
      <c r="F150" s="16" t="inlineStr">
        <is>
          <t>Shigaraki</t>
        </is>
      </c>
      <c r="G150" s="16" t="inlineStr">
        <is>
          <t>Lake Biwa</t>
        </is>
      </c>
      <c r="H150" s="16" t="inlineStr">
        <is>
          <t>MIHO Museum</t>
        </is>
      </c>
      <c r="I150" s="16" t="inlineStr">
        <is>
          <t>ミホミュージアム</t>
        </is>
      </c>
      <c r="J150" s="16" t="inlineStr">
        <is>
          <t>MIHO Museum</t>
        </is>
      </c>
      <c r="K150" s="16" t="inlineStr">
        <is>
          <t>🎨 Arte</t>
        </is>
      </c>
      <c r="L150" s="16" t="inlineStr">
        <is>
          <t>museo/arquitectura</t>
        </is>
      </c>
      <c r="M150" s="16" t="inlineStr">
        <is>
          <t>A</t>
        </is>
      </c>
      <c r="N150" s="16" t="inlineStr">
        <is>
          <t>La llegada por túnel y puente a la arquitectura de I.M. Pei justifica el viaje. Clasificación v2: excelente y muy recomendable, pero no justifica por sí sola adaptar la ruta.</t>
        </is>
      </c>
      <c r="O150" s="16" t="inlineStr">
        <is>
          <t>Museo de arte antiguo incrustado en las montañas de Shiga.</t>
        </is>
      </c>
      <c r="P150" s="16" t="inlineStr">
        <is>
          <t>La secuencia de acceso es una obra paisajística en sí misma.</t>
        </is>
      </c>
      <c r="Q150" s="16" t="inlineStr">
        <is>
          <t>Museo de arte antiguo incrustado en las montañas de Shiga.</t>
        </is>
      </c>
      <c r="R150" s="16" t="inlineStr">
        <is>
          <t>Medio día</t>
        </is>
      </c>
      <c r="S150" s="16" t="inlineStr">
        <is>
          <t>Mañana</t>
        </is>
      </c>
      <c r="T150" s="16" t="inlineStr">
        <is>
          <t>Primavera y otoño; apertura estacional</t>
        </is>
      </c>
      <c r="U150" s="16" t="inlineStr">
        <is>
          <t>Bajo</t>
        </is>
      </c>
      <c r="V150" s="16" t="inlineStr">
        <is>
          <t>Bajo</t>
        </is>
      </c>
      <c r="W150" s="89" t="n">
        <v>1300</v>
      </c>
      <c r="X150" s="89" t="n">
        <v>1300</v>
      </c>
      <c r="Y150" s="89">
        <f>W150*'Configuración'!$B$4</f>
        <v/>
      </c>
      <c r="Z150" s="89">
        <f>X150*'Configuración'!$B$4</f>
        <v/>
      </c>
      <c r="AA150" s="16" t="inlineStr">
        <is>
          <t>Recomendable</t>
        </is>
      </c>
      <c r="AB150" s="16" t="inlineStr">
        <is>
          <t>Días/semanas</t>
        </is>
      </c>
      <c r="AC150" s="16" t="inlineStr">
        <is>
          <t>Aperturas por temporadas</t>
        </is>
      </c>
      <c r="AD150" s="16" t="inlineStr">
        <is>
          <t>Lunes y largos cierres entre muestras</t>
        </is>
      </c>
      <c r="AE150" s="16" t="inlineStr">
        <is>
          <t>JR Ishiyama + bus</t>
        </is>
      </c>
      <c r="AF150" s="16" t="inlineStr">
        <is>
          <t>Buena en áreas principales; confirmar detalles con el recinto</t>
        </is>
      </c>
      <c r="AG150" s="90" t="n">
        <v>34.9148</v>
      </c>
      <c r="AH150" s="90" t="n">
        <v>136.0164</v>
      </c>
      <c r="AI150" s="16" t="inlineStr">
        <is>
          <t>https://www.miho.jp/en/</t>
        </is>
      </c>
      <c r="AJ150" s="16" t="inlineStr">
        <is>
          <t>Cambiante</t>
        </is>
      </c>
      <c r="AK150" s="16" t="inlineStr">
        <is>
          <t>HIDDEN GEM / ART</t>
        </is>
      </c>
      <c r="AL150" s="16" t="inlineStr">
        <is>
          <t>arte, arquitectura, naturaleza</t>
        </is>
      </c>
      <c r="AM150" s="91" t="n">
        <v>5</v>
      </c>
      <c r="AN150" s="91" t="n">
        <v>5</v>
      </c>
      <c r="AO150" s="91" t="n">
        <v>4</v>
      </c>
      <c r="AP150" s="91" t="n">
        <v>1</v>
      </c>
      <c r="AQ150" s="16" t="inlineStr">
        <is>
          <t>Imagen ideal: la secuencia de acceso es una obra paisajística en sí misma. con luz de mañana, sin multitudes dominando el encuadre.</t>
        </is>
      </c>
      <c r="AR150" s="16" t="str"/>
      <c r="AS150" s="16" t="inlineStr">
        <is>
          <t>Hidden Gem real</t>
        </is>
      </c>
      <c r="AT150" s="16" t="str"/>
      <c r="AU150" s="16" t="inlineStr">
        <is>
          <t>https://www.google.com/maps/search/?api=1&amp;query=MIHO%20Museum%2C%20Koka%2C%20Japan</t>
        </is>
      </c>
      <c r="AV150" s="16" t="inlineStr">
        <is>
          <t>2026-09-01</t>
        </is>
      </c>
      <c r="AW150" s="16" t="inlineStr">
        <is>
          <t>ALTO RIESGO DE CIERRE</t>
        </is>
      </c>
      <c r="AX150" s="16" t="inlineStr">
        <is>
          <t>Suele cerrar en invierno entre exposiciones; calendario 2027 pendiente.</t>
        </is>
      </c>
      <c r="AY150" s="16" t="inlineStr">
        <is>
          <t>No tratar como disponible hasta publicación oficial.</t>
        </is>
      </c>
    </row>
    <row r="151" ht="66" customHeight="1">
      <c r="A151" s="16" t="inlineStr">
        <is>
          <t>JP-150</t>
        </is>
      </c>
      <c r="B151" s="16" t="inlineStr">
        <is>
          <t>Osaka</t>
        </is>
      </c>
      <c r="C151" s="16" t="inlineStr">
        <is>
          <t>Kansai</t>
        </is>
      </c>
      <c r="D151" s="16" t="inlineStr">
        <is>
          <t>Kioto</t>
        </is>
      </c>
      <c r="E151" s="16" t="inlineStr">
        <is>
          <t>Miyazu</t>
        </is>
      </c>
      <c r="F151" s="16" t="inlineStr">
        <is>
          <t>Amanohashidate</t>
        </is>
      </c>
      <c r="G151" s="16" t="inlineStr">
        <is>
          <t>North Kyoto Prefecture</t>
        </is>
      </c>
      <c r="H151" s="16" t="inlineStr">
        <is>
          <t>Amanohashidate</t>
        </is>
      </c>
      <c r="I151" s="16" t="inlineStr">
        <is>
          <t>天橋立</t>
        </is>
      </c>
      <c r="J151" s="16" t="inlineStr">
        <is>
          <t>Amanohashidate</t>
        </is>
      </c>
      <c r="K151" s="16" t="inlineStr">
        <is>
          <t>🌿 Naturaleza</t>
        </is>
      </c>
      <c r="L151" s="16" t="inlineStr">
        <is>
          <t>paisaje costero</t>
        </is>
      </c>
      <c r="M151" s="16" t="inlineStr">
        <is>
          <t>B</t>
        </is>
      </c>
      <c r="N151" s="16" t="inlineStr">
        <is>
          <t>Uno de los tres paisajes clásicos de Japón; merece día completo o noche si se combina con Ine. Clasificación v2: recomendable si encaja; su valor depende más de interés, saturación o logística.</t>
        </is>
      </c>
      <c r="O151" s="16" t="inlineStr">
        <is>
          <t>Barra de arena cubierta de pinos que cruza una bahía.</t>
        </is>
      </c>
      <c r="P151" s="16" t="inlineStr">
        <is>
          <t>Se recorre en bici, barco o a pie y se observa desde dos montañas.</t>
        </is>
      </c>
      <c r="Q151" s="16" t="inlineStr">
        <is>
          <t>Barra de arena cubierta de pinos que cruza una bahía.</t>
        </is>
      </c>
      <c r="R151" s="16" t="inlineStr">
        <is>
          <t>Día completo</t>
        </is>
      </c>
      <c r="S151" s="16" t="inlineStr">
        <is>
          <t>Mañana</t>
        </is>
      </c>
      <c r="T151" s="16" t="inlineStr">
        <is>
          <t>Primavera y otoño</t>
        </is>
      </c>
      <c r="U151" s="16" t="inlineStr">
        <is>
          <t>Alto</t>
        </is>
      </c>
      <c r="V151" s="16" t="inlineStr">
        <is>
          <t>Alto</t>
        </is>
      </c>
      <c r="W151" s="89" t="n">
        <v>0</v>
      </c>
      <c r="X151" s="89" t="n">
        <v>1700</v>
      </c>
      <c r="Y151" s="89">
        <f>W151*'Configuración'!$B$4</f>
        <v/>
      </c>
      <c r="Z151" s="89">
        <f>X151*'Configuración'!$B$4</f>
        <v/>
      </c>
      <c r="AA151" s="16" t="inlineStr">
        <is>
          <t>Recomendable</t>
        </is>
      </c>
      <c r="AB151" s="16" t="inlineStr">
        <is>
          <t>Días para transporte/teleférico</t>
        </is>
      </c>
      <c r="AC151" s="16" t="inlineStr">
        <is>
          <t>Transporte variable</t>
        </is>
      </c>
      <c r="AD151" s="16" t="inlineStr">
        <is>
          <t>Clima</t>
        </is>
      </c>
      <c r="AE151" s="16" t="inlineStr">
        <is>
          <t>Kyoto Tango Railway Amanohashidate</t>
        </is>
      </c>
      <c r="AF151" s="16" t="inlineStr">
        <is>
          <t>Buena en áreas principales; confirmar detalles con el recinto</t>
        </is>
      </c>
      <c r="AG151" s="90" t="n">
        <v>35.5702</v>
      </c>
      <c r="AH151" s="90" t="n">
        <v>135.1913</v>
      </c>
      <c r="AI151" s="16" t="inlineStr">
        <is>
          <t>https://www.amanohashidate.jp/lang/en/</t>
        </is>
      </c>
      <c r="AJ151" s="16" t="inlineStr">
        <is>
          <t>Cambiante</t>
        </is>
      </c>
      <c r="AK151" s="16" t="inlineStr">
        <is>
          <t>DAY TRIP / NATURE</t>
        </is>
      </c>
      <c r="AL151" s="16" t="inlineStr">
        <is>
          <t>pareja, naturaleza, fotografía</t>
        </is>
      </c>
      <c r="AM151" s="91" t="n">
        <v>5</v>
      </c>
      <c r="AN151" s="91" t="n">
        <v>4</v>
      </c>
      <c r="AO151" s="91" t="n">
        <v>3</v>
      </c>
      <c r="AP151" s="91" t="n">
        <v>4</v>
      </c>
      <c r="AQ151" s="16" t="inlineStr">
        <is>
          <t>Imagen ideal: se recorre en bici, barco o a pie y se observa desde dos montañas. con luz de mañana, sin multitudes dominando el encuadre.</t>
        </is>
      </c>
      <c r="AR151" s="16" t="str"/>
      <c r="AS151" s="16" t="inlineStr">
        <is>
          <t>Popular / turístico</t>
        </is>
      </c>
      <c r="AT151" s="16" t="str"/>
      <c r="AU151" s="16" t="inlineStr">
        <is>
          <t>https://www.google.com/maps/search/?api=1&amp;query=Amanohashidate%2C%20Miyazu%2C%20Japan</t>
        </is>
      </c>
      <c r="AV151" s="16" t="inlineStr">
        <is>
          <t>2026-09-01</t>
        </is>
      </c>
      <c r="AW151" s="16" t="inlineStr">
        <is>
          <t>CALENDARIO / CONDICIÓN PENDIENTE</t>
        </is>
      </c>
      <c r="AX151" s="16" t="inlineStr">
        <is>
          <t>No hay cierre específico confirmado para la ventana, pero horarios o acceso pueden variar.</t>
        </is>
      </c>
      <c r="AY151" s="16" t="inlineStr">
        <is>
          <t>Reconfirmar en la web oficial al fijar fechas.</t>
        </is>
      </c>
    </row>
    <row r="152" ht="66" customHeight="1">
      <c r="A152" s="16" t="inlineStr">
        <is>
          <t>JP-151</t>
        </is>
      </c>
      <c r="B152" s="16" t="inlineStr">
        <is>
          <t>Osaka</t>
        </is>
      </c>
      <c r="C152" s="16" t="inlineStr">
        <is>
          <t>Kansai</t>
        </is>
      </c>
      <c r="D152" s="16" t="inlineStr">
        <is>
          <t>Kioto</t>
        </is>
      </c>
      <c r="E152" s="16" t="inlineStr">
        <is>
          <t>Ine</t>
        </is>
      </c>
      <c r="F152" s="16" t="inlineStr">
        <is>
          <t>Ine</t>
        </is>
      </c>
      <c r="G152" s="16" t="inlineStr">
        <is>
          <t>North Kyoto Prefecture</t>
        </is>
      </c>
      <c r="H152" s="16" t="inlineStr">
        <is>
          <t>Ine Funaya</t>
        </is>
      </c>
      <c r="I152" s="16" t="inlineStr">
        <is>
          <t>伊根の舟屋</t>
        </is>
      </c>
      <c r="J152" s="16" t="inlineStr">
        <is>
          <t>Ine Funaya</t>
        </is>
      </c>
      <c r="K152" s="16" t="inlineStr">
        <is>
          <t>🌊 Playa/mar/islas</t>
        </is>
      </c>
      <c r="L152" s="16" t="inlineStr">
        <is>
          <t>pueblo costero</t>
        </is>
      </c>
      <c r="M152" s="16" t="inlineStr">
        <is>
          <t>A</t>
        </is>
      </c>
      <c r="N152" s="16" t="inlineStr">
        <is>
          <t>El frente continuo de casas para barcos es un paisaje cultural raro y hermoso. Clasificación v2: excelente y muy recomendable, pero no justifica por sí sola adaptar la ruta.</t>
        </is>
      </c>
      <c r="O152" s="16" t="inlineStr">
        <is>
          <t>Aldea pesquera con funaya construidas directamente sobre la bahía.</t>
        </is>
      </c>
      <c r="P152" s="16" t="inlineStr">
        <is>
          <t>La relación casa-barco-agua sigue siendo funcional, no decorativa.</t>
        </is>
      </c>
      <c r="Q152" s="16" t="inlineStr">
        <is>
          <t>Aldea pesquera con funaya construidas directamente sobre la bahía.</t>
        </is>
      </c>
      <c r="R152" s="16" t="inlineStr">
        <is>
          <t>Medio día–1 noche</t>
        </is>
      </c>
      <c r="S152" s="16" t="inlineStr">
        <is>
          <t>Tarde</t>
        </is>
      </c>
      <c r="T152" s="16" t="inlineStr">
        <is>
          <t>Primavera y otoño</t>
        </is>
      </c>
      <c r="U152" s="16" t="inlineStr">
        <is>
          <t>Medio</t>
        </is>
      </c>
      <c r="V152" s="16" t="inlineStr">
        <is>
          <t>Medio</t>
        </is>
      </c>
      <c r="W152" s="89" t="n">
        <v>0</v>
      </c>
      <c r="X152" s="89" t="n">
        <v>0</v>
      </c>
      <c r="Y152" s="89">
        <f>W152*'Configuración'!$B$4</f>
        <v/>
      </c>
      <c r="Z152" s="89">
        <f>X152*'Configuración'!$B$4</f>
        <v/>
      </c>
      <c r="AA152" s="16" t="inlineStr">
        <is>
          <t>Recomendable</t>
        </is>
      </c>
      <c r="AB152" s="16" t="inlineStr">
        <is>
          <t>Semanas/meses para dormir</t>
        </is>
      </c>
      <c r="AC152" s="16" t="inlineStr">
        <is>
          <t>Pueblo abierto; cruceros variables</t>
        </is>
      </c>
      <c r="AD152" s="16" t="inlineStr">
        <is>
          <t>Clima</t>
        </is>
      </c>
      <c r="AE152" s="16" t="inlineStr">
        <is>
          <t>Bus desde Amanohashidate</t>
        </is>
      </c>
      <c r="AF152" s="16" t="inlineStr">
        <is>
          <t>Buena en áreas principales; confirmar detalles con el recinto</t>
        </is>
      </c>
      <c r="AG152" s="90" t="n">
        <v>35.6751</v>
      </c>
      <c r="AH152" s="90" t="n">
        <v>135.289</v>
      </c>
      <c r="AI152" s="16" t="inlineStr">
        <is>
          <t>https://www.ine-kankou.jp/en</t>
        </is>
      </c>
      <c r="AJ152" s="16" t="inlineStr">
        <is>
          <t>Cambiante</t>
        </is>
      </c>
      <c r="AK152" s="16" t="inlineStr">
        <is>
          <t>HIDDEN GEM / OVERNIGHT</t>
        </is>
      </c>
      <c r="AL152" s="16" t="inlineStr">
        <is>
          <t>pareja, fotografía, mar, cultura</t>
        </is>
      </c>
      <c r="AM152" s="91" t="n">
        <v>5</v>
      </c>
      <c r="AN152" s="91" t="n">
        <v>5</v>
      </c>
      <c r="AO152" s="91" t="n">
        <v>3</v>
      </c>
      <c r="AP152" s="91" t="n">
        <v>2</v>
      </c>
      <c r="AQ152" s="16" t="inlineStr">
        <is>
          <t>Imagen ideal: la relación casa-barco-agua sigue siendo funcional, no decorativa. con luz de tarde, sin multitudes dominando el encuadre.</t>
        </is>
      </c>
      <c r="AR152" s="16" t="str"/>
      <c r="AS152" s="16" t="inlineStr">
        <is>
          <t>Semi-hidden</t>
        </is>
      </c>
      <c r="AT152" s="16" t="str"/>
      <c r="AU152" s="16" t="inlineStr">
        <is>
          <t>https://www.google.com/maps/search/?api=1&amp;query=Ine%20Funaya%2C%20Ine%2C%20Japan</t>
        </is>
      </c>
      <c r="AV152" s="16" t="inlineStr">
        <is>
          <t>2026-09-01</t>
        </is>
      </c>
      <c r="AW152" s="16" t="inlineStr">
        <is>
          <t>CALENDARIO / CONDICIÓN PENDIENTE</t>
        </is>
      </c>
      <c r="AX152" s="16" t="inlineStr">
        <is>
          <t>No hay cierre específico confirmado para la ventana, pero horarios o acceso pueden variar.</t>
        </is>
      </c>
      <c r="AY152" s="16" t="inlineStr">
        <is>
          <t>Reconfirmar en la web oficial al fijar fechas.</t>
        </is>
      </c>
    </row>
    <row r="153" ht="66" customHeight="1">
      <c r="A153" s="16" t="inlineStr">
        <is>
          <t>JP-152</t>
        </is>
      </c>
      <c r="B153" s="16" t="inlineStr">
        <is>
          <t>Osaka</t>
        </is>
      </c>
      <c r="C153" s="16" t="inlineStr">
        <is>
          <t>Shikoku</t>
        </is>
      </c>
      <c r="D153" s="16" t="inlineStr">
        <is>
          <t>Kagawa</t>
        </is>
      </c>
      <c r="E153" s="16" t="inlineStr">
        <is>
          <t>Naoshima</t>
        </is>
      </c>
      <c r="F153" s="16" t="inlineStr">
        <is>
          <t>Naoshima</t>
        </is>
      </c>
      <c r="G153" s="16" t="inlineStr">
        <is>
          <t>Setouchi</t>
        </is>
      </c>
      <c r="H153" s="16" t="inlineStr">
        <is>
          <t>Naoshima art island</t>
        </is>
      </c>
      <c r="I153" s="16" t="inlineStr">
        <is>
          <t>直島</t>
        </is>
      </c>
      <c r="J153" s="16" t="inlineStr">
        <is>
          <t>Naoshima art island</t>
        </is>
      </c>
      <c r="K153" s="16" t="inlineStr">
        <is>
          <t>🎨 Arte</t>
        </is>
      </c>
      <c r="L153" s="16" t="inlineStr">
        <is>
          <t>isla de arte</t>
        </is>
      </c>
      <c r="M153" s="16" t="inlineStr">
        <is>
          <t>S</t>
        </is>
      </c>
      <c r="N153" s="16" t="inlineStr">
        <is>
          <t>La fusión de arte, arquitectura y paisaje insular justifica al menos una noche.</t>
        </is>
      </c>
      <c r="O153" s="16" t="inlineStr">
        <is>
          <t>Museos de Tadao Ando, Art House Project y obras en la costa.</t>
        </is>
      </c>
      <c r="P153" s="16" t="inlineStr">
        <is>
          <t>El viaje entre obras forma parte de la experiencia curatorial.</t>
        </is>
      </c>
      <c r="Q153" s="16" t="inlineStr">
        <is>
          <t>Museos de Tadao Ando, Art House Project y obras en la costa.</t>
        </is>
      </c>
      <c r="R153" s="16" t="inlineStr">
        <is>
          <t>1–2 días</t>
        </is>
      </c>
      <c r="S153" s="16" t="inlineStr">
        <is>
          <t>Mañana</t>
        </is>
      </c>
      <c r="T153" s="16" t="inlineStr">
        <is>
          <t>Primavera y otoño</t>
        </is>
      </c>
      <c r="U153" s="16" t="inlineStr">
        <is>
          <t>Alto</t>
        </is>
      </c>
      <c r="V153" s="16" t="inlineStr">
        <is>
          <t>Alto</t>
        </is>
      </c>
      <c r="W153" s="89" t="n">
        <v>3000</v>
      </c>
      <c r="X153" s="89" t="n">
        <v>12000</v>
      </c>
      <c r="Y153" s="89">
        <f>W153*'Configuración'!$B$4</f>
        <v/>
      </c>
      <c r="Z153" s="89">
        <f>X153*'Configuración'!$B$4</f>
        <v/>
      </c>
      <c r="AA153" s="16" t="inlineStr">
        <is>
          <t>Sí</t>
        </is>
      </c>
      <c r="AB153" s="16" t="inlineStr">
        <is>
          <t>Semanas para museos/alojamiento</t>
        </is>
      </c>
      <c r="AC153" s="16" t="inlineStr">
        <is>
          <t>Museos y ferries variables</t>
        </is>
      </c>
      <c r="AD153" s="16" t="inlineStr">
        <is>
          <t>Lunes en muchos museos; clima</t>
        </is>
      </c>
      <c r="AE153" s="16" t="inlineStr">
        <is>
          <t>Ferry desde Uno/Takamatsu</t>
        </is>
      </c>
      <c r="AF153" s="16" t="inlineStr">
        <is>
          <t>Parcial o baja; terreno irregular y condiciones naturales</t>
        </is>
      </c>
      <c r="AG153" s="90" t="n">
        <v>34.4597</v>
      </c>
      <c r="AH153" s="90" t="n">
        <v>133.9957</v>
      </c>
      <c r="AI153" s="16" t="inlineStr">
        <is>
          <t>https://benesse-artsite.jp/en/</t>
        </is>
      </c>
      <c r="AJ153" s="16" t="inlineStr">
        <is>
          <t>Cambiante</t>
        </is>
      </c>
      <c r="AK153" s="16" t="inlineStr">
        <is>
          <t>ART / OVERNIGHT</t>
        </is>
      </c>
      <c r="AL153" s="16" t="inlineStr">
        <is>
          <t>pareja, arte, arquitectura, fotografía</t>
        </is>
      </c>
      <c r="AM153" s="91" t="n">
        <v>5</v>
      </c>
      <c r="AN153" s="91" t="n">
        <v>5</v>
      </c>
      <c r="AO153" s="91" t="n">
        <v>3</v>
      </c>
      <c r="AP153" s="91" t="n">
        <v>4</v>
      </c>
      <c r="AQ153" s="16" t="inlineStr">
        <is>
          <t>Imagen ideal: el viaje entre obras forma parte de la experiencia curatorial. con luz de mañana, sin multitudes dominando el encuadre.</t>
        </is>
      </c>
      <c r="AR153" s="16" t="str"/>
      <c r="AS153" s="16" t="inlineStr">
        <is>
          <t>Lugar conocido pero excelente</t>
        </is>
      </c>
      <c r="AT153" s="16" t="str"/>
      <c r="AU153" s="16" t="inlineStr">
        <is>
          <t>https://www.google.com/maps/search/?api=1&amp;query=Naoshima%20art%20island%2C%20Naoshima%2C%20Japan</t>
        </is>
      </c>
      <c r="AV153" s="16" t="inlineStr">
        <is>
          <t>2026-09-01</t>
        </is>
      </c>
      <c r="AW153" s="16" t="inlineStr">
        <is>
          <t>CALENDARIO / CONDICIÓN PENDIENTE</t>
        </is>
      </c>
      <c r="AX153" s="16" t="inlineStr">
        <is>
          <t>No hay cierre específico confirmado para la ventana, pero horarios o acceso pueden variar.</t>
        </is>
      </c>
      <c r="AY153" s="16" t="inlineStr">
        <is>
          <t>Reconfirmar en la web oficial al fijar fechas.</t>
        </is>
      </c>
    </row>
    <row r="154" ht="66" customHeight="1">
      <c r="A154" s="16" t="inlineStr">
        <is>
          <t>JP-153</t>
        </is>
      </c>
      <c r="B154" s="16" t="inlineStr">
        <is>
          <t>Okinawa</t>
        </is>
      </c>
      <c r="C154" s="16" t="inlineStr">
        <is>
          <t>Okinawa</t>
        </is>
      </c>
      <c r="D154" s="16" t="inlineStr">
        <is>
          <t>Okinawa</t>
        </is>
      </c>
      <c r="E154" s="16" t="inlineStr">
        <is>
          <t>Naha</t>
        </is>
      </c>
      <c r="F154" s="16" t="inlineStr">
        <is>
          <t>Kokusai-dori</t>
        </is>
      </c>
      <c r="G154" s="16" t="inlineStr">
        <is>
          <t>Naha</t>
        </is>
      </c>
      <c r="H154" s="16" t="inlineStr">
        <is>
          <t>Kokusai Street</t>
        </is>
      </c>
      <c r="I154" s="16" t="inlineStr">
        <is>
          <t>国際通り</t>
        </is>
      </c>
      <c r="J154" s="16" t="inlineStr">
        <is>
          <t>Kokusai Street</t>
        </is>
      </c>
      <c r="K154" s="16" t="inlineStr">
        <is>
          <t>🏙️ Ciudad y barrios</t>
        </is>
      </c>
      <c r="L154" s="16" t="inlineStr">
        <is>
          <t>calle comercial</t>
        </is>
      </c>
      <c r="M154" s="16" t="inlineStr">
        <is>
          <t>B</t>
        </is>
      </c>
      <c r="N154" s="16" t="inlineStr">
        <is>
          <t>Útil para primera toma de contacto y comida, pero parte de la oferta es souvenir genérico.</t>
        </is>
      </c>
      <c r="O154" s="16" t="inlineStr">
        <is>
          <t>Avenida central de Naha con restaurantes, tiendas y acceso a mercados.</t>
        </is>
      </c>
      <c r="P154" s="16" t="inlineStr">
        <is>
          <t>Funciona mejor como eje hacia Sakaemachi, Makishi y Tsuboya.</t>
        </is>
      </c>
      <c r="Q154" s="16" t="inlineStr">
        <is>
          <t>Avenida central de Naha con restaurantes, tiendas y acceso a mercados.</t>
        </is>
      </c>
      <c r="R154" s="16" t="inlineStr">
        <is>
          <t>1.5–3 h</t>
        </is>
      </c>
      <c r="S154" s="16" t="inlineStr">
        <is>
          <t>Noche</t>
        </is>
      </c>
      <c r="T154" s="16" t="inlineStr">
        <is>
          <t>Todo el año</t>
        </is>
      </c>
      <c r="U154" s="16" t="inlineStr">
        <is>
          <t>Extremo</t>
        </is>
      </c>
      <c r="V154" s="16" t="inlineStr">
        <is>
          <t>Extremo</t>
        </is>
      </c>
      <c r="W154" s="89" t="n">
        <v>0</v>
      </c>
      <c r="X154" s="89" t="n">
        <v>0</v>
      </c>
      <c r="Y154" s="89">
        <f>W154*'Configuración'!$B$4</f>
        <v/>
      </c>
      <c r="Z154" s="89">
        <f>X154*'Configuración'!$B$4</f>
        <v/>
      </c>
      <c r="AA154" s="16" t="inlineStr">
        <is>
          <t>No</t>
        </is>
      </c>
      <c r="AB154" s="16" t="inlineStr">
        <is>
          <t>—</t>
        </is>
      </c>
      <c r="AC154" s="16" t="inlineStr">
        <is>
          <t>Espacio público; negocios variables</t>
        </is>
      </c>
      <c r="AD154" s="16" t="inlineStr">
        <is>
          <t>Sin cierre</t>
        </is>
      </c>
      <c r="AE154" s="16" t="inlineStr">
        <is>
          <t>Monorail Prefectural Office / Makishi</t>
        </is>
      </c>
      <c r="AF154" s="16" t="inlineStr">
        <is>
          <t>Buena en áreas principales; confirmar detalles con el recinto</t>
        </is>
      </c>
      <c r="AG154" s="90" t="n">
        <v>26.2155</v>
      </c>
      <c r="AH154" s="90" t="n">
        <v>127.6845</v>
      </c>
      <c r="AI154" s="16" t="inlineStr">
        <is>
          <t>https://visitokinawajapan.com/</t>
        </is>
      </c>
      <c r="AJ154" s="16" t="inlineStr">
        <is>
          <t>Cambiante</t>
        </is>
      </c>
      <c r="AK154" s="16" t="inlineStr">
        <is>
          <t>CITY / FOOD</t>
        </is>
      </c>
      <c r="AL154" s="16" t="inlineStr">
        <is>
          <t>pareja, comida, compras, noche</t>
        </is>
      </c>
      <c r="AM154" s="91" t="n">
        <v>4</v>
      </c>
      <c r="AN154" s="91" t="n">
        <v>3</v>
      </c>
      <c r="AO154" s="91" t="n">
        <v>4</v>
      </c>
      <c r="AP154" s="91" t="n">
        <v>5</v>
      </c>
      <c r="AQ154" s="16" t="inlineStr">
        <is>
          <t>Imagen ideal: funciona mejor como eje hacia sakaemachi, makishi y tsuboya. con luz de noche, sin multitudes dominando el encuadre.</t>
        </is>
      </c>
      <c r="AR154" s="16" t="inlineStr">
        <is>
          <t>First Makishi Public Market (~4 min a pie) | Tsuboya Yachimun Street (~12 min a pie) | Sakaemachi Arcade nightlife (~16 min a pie)</t>
        </is>
      </c>
      <c r="AS154" s="16" t="inlineStr">
        <is>
          <t>Popular / turístico</t>
        </is>
      </c>
      <c r="AT154" s="16" t="str"/>
      <c r="AU154" s="16" t="inlineStr">
        <is>
          <t>https://www.google.com/maps/search/?api=1&amp;query=Kokusai%20Street%2C%20Naha%2C%20Japan</t>
        </is>
      </c>
      <c r="AV154" s="16" t="inlineStr">
        <is>
          <t>2026-09-01</t>
        </is>
      </c>
      <c r="AW154" s="16" t="inlineStr">
        <is>
          <t>CALENDARIO / CONDICIÓN PENDIENTE</t>
        </is>
      </c>
      <c r="AX154" s="16" t="inlineStr">
        <is>
          <t>No hay cierre específico confirmado para la ventana, pero horarios o acceso pueden variar.</t>
        </is>
      </c>
      <c r="AY154" s="16" t="inlineStr">
        <is>
          <t>Reconfirmar en la web oficial al fijar fechas.</t>
        </is>
      </c>
    </row>
    <row r="155" ht="66" customHeight="1">
      <c r="A155" s="16" t="inlineStr">
        <is>
          <t>JP-154</t>
        </is>
      </c>
      <c r="B155" s="16" t="inlineStr">
        <is>
          <t>Okinawa</t>
        </is>
      </c>
      <c r="C155" s="16" t="inlineStr">
        <is>
          <t>Okinawa</t>
        </is>
      </c>
      <c r="D155" s="16" t="inlineStr">
        <is>
          <t>Okinawa</t>
        </is>
      </c>
      <c r="E155" s="16" t="inlineStr">
        <is>
          <t>Naha</t>
        </is>
      </c>
      <c r="F155" s="16" t="inlineStr">
        <is>
          <t>Makishi</t>
        </is>
      </c>
      <c r="G155" s="16" t="inlineStr">
        <is>
          <t>Naha</t>
        </is>
      </c>
      <c r="H155" s="16" t="inlineStr">
        <is>
          <t>First Makishi Public Market</t>
        </is>
      </c>
      <c r="I155" s="16" t="inlineStr">
        <is>
          <t>第一牧志公設市場</t>
        </is>
      </c>
      <c r="J155" s="16" t="inlineStr">
        <is>
          <t>First Makishi Public Market</t>
        </is>
      </c>
      <c r="K155" s="16" t="inlineStr">
        <is>
          <t>🍜 Gastronomía</t>
        </is>
      </c>
      <c r="L155" s="16" t="inlineStr">
        <is>
          <t>mercado</t>
        </is>
      </c>
      <c r="M155" s="16" t="inlineStr">
        <is>
          <t>A</t>
        </is>
      </c>
      <c r="N155" s="16" t="inlineStr">
        <is>
          <t>Mejor punto compacto para comprender pescados, cerdo y productos del archipiélago.</t>
        </is>
      </c>
      <c r="O155" s="16" t="inlineStr">
        <is>
          <t>Mercado renovado con puestos y restaurantes en planta alta.</t>
        </is>
      </c>
      <c r="P155" s="16" t="inlineStr">
        <is>
          <t>La opción de comprar y cocinar arriba conecta producto y cocina.</t>
        </is>
      </c>
      <c r="Q155" s="16" t="inlineStr">
        <is>
          <t>Mercado renovado con puestos y restaurantes en planta alta.</t>
        </is>
      </c>
      <c r="R155" s="16" t="inlineStr">
        <is>
          <t>1.5–2.5 h</t>
        </is>
      </c>
      <c r="S155" s="16" t="inlineStr">
        <is>
          <t>Mañana</t>
        </is>
      </c>
      <c r="T155" s="16" t="inlineStr">
        <is>
          <t>Todo el año</t>
        </is>
      </c>
      <c r="U155" s="16" t="inlineStr">
        <is>
          <t>Alto</t>
        </is>
      </c>
      <c r="V155" s="16" t="inlineStr">
        <is>
          <t>Alto</t>
        </is>
      </c>
      <c r="W155" s="89" t="n">
        <v>0</v>
      </c>
      <c r="X155" s="89" t="n">
        <v>5000</v>
      </c>
      <c r="Y155" s="89">
        <f>W155*'Configuración'!$B$4</f>
        <v/>
      </c>
      <c r="Z155" s="89">
        <f>X155*'Configuración'!$B$4</f>
        <v/>
      </c>
      <c r="AA155" s="16" t="inlineStr">
        <is>
          <t>No</t>
        </is>
      </c>
      <c r="AB155" s="16" t="inlineStr">
        <is>
          <t>—</t>
        </is>
      </c>
      <c r="AC155" s="16" t="inlineStr">
        <is>
          <t>08:00–22:00 aprox.; puestos varían</t>
        </is>
      </c>
      <c r="AD155" s="16" t="inlineStr">
        <is>
          <t>Cuarto domingo variable</t>
        </is>
      </c>
      <c r="AE155" s="16" t="inlineStr">
        <is>
          <t>Makishi / Miebashi</t>
        </is>
      </c>
      <c r="AF155" s="16" t="inlineStr">
        <is>
          <t>Buena en áreas principales; confirmar detalles con el recinto</t>
        </is>
      </c>
      <c r="AG155" s="90" t="n">
        <v>26.2143</v>
      </c>
      <c r="AH155" s="90" t="n">
        <v>127.6872</v>
      </c>
      <c r="AI155" s="16" t="inlineStr">
        <is>
          <t>https://www.makishi-public-market.jp/</t>
        </is>
      </c>
      <c r="AJ155" s="16" t="inlineStr">
        <is>
          <t>Cambiante</t>
        </is>
      </c>
      <c r="AK155" s="16" t="inlineStr">
        <is>
          <t>FOOD</t>
        </is>
      </c>
      <c r="AL155" s="16" t="inlineStr">
        <is>
          <t>comida, cultura, mercado</t>
        </is>
      </c>
      <c r="AM155" s="91" t="n">
        <v>4</v>
      </c>
      <c r="AN155" s="91" t="n">
        <v>5</v>
      </c>
      <c r="AO155" s="91" t="n">
        <v>5</v>
      </c>
      <c r="AP155" s="91" t="n">
        <v>4</v>
      </c>
      <c r="AQ155" s="16" t="inlineStr">
        <is>
          <t>Imagen ideal: la opción de comprar y cocinar arriba conecta producto y cocina. con luz de mañana, sin multitudes dominando el encuadre.</t>
        </is>
      </c>
      <c r="AR155" s="16" t="inlineStr">
        <is>
          <t>Kokusai Street (~4 min a pie) | Tsuboya Yachimun Street (~8 min a pie) | Sakaemachi Arcade nightlife (~12 min a pie)</t>
        </is>
      </c>
      <c r="AS155" s="16" t="inlineStr">
        <is>
          <t>Popular / turístico</t>
        </is>
      </c>
      <c r="AT155" s="16" t="str"/>
      <c r="AU155" s="16" t="inlineStr">
        <is>
          <t>https://www.google.com/maps/search/?api=1&amp;query=First%20Makishi%20Public%20Market%2C%20Naha%2C%20Japan</t>
        </is>
      </c>
      <c r="AV155" s="16" t="inlineStr">
        <is>
          <t>2026-09-01</t>
        </is>
      </c>
      <c r="AW155" s="16" t="inlineStr">
        <is>
          <t>CALENDARIO / CONDICIÓN PENDIENTE</t>
        </is>
      </c>
      <c r="AX155" s="16" t="inlineStr">
        <is>
          <t>No hay cierre específico confirmado para la ventana, pero horarios o acceso pueden variar.</t>
        </is>
      </c>
      <c r="AY155" s="16" t="inlineStr">
        <is>
          <t>Reconfirmar en la web oficial al fijar fechas.</t>
        </is>
      </c>
    </row>
    <row r="156" ht="66" customHeight="1">
      <c r="A156" s="16" t="inlineStr">
        <is>
          <t>JP-155</t>
        </is>
      </c>
      <c r="B156" s="16" t="inlineStr">
        <is>
          <t>Okinawa</t>
        </is>
      </c>
      <c r="C156" s="16" t="inlineStr">
        <is>
          <t>Okinawa</t>
        </is>
      </c>
      <c r="D156" s="16" t="inlineStr">
        <is>
          <t>Okinawa</t>
        </is>
      </c>
      <c r="E156" s="16" t="inlineStr">
        <is>
          <t>Naha</t>
        </is>
      </c>
      <c r="F156" s="16" t="inlineStr">
        <is>
          <t>Tsuboya</t>
        </is>
      </c>
      <c r="G156" s="16" t="inlineStr">
        <is>
          <t>Naha</t>
        </is>
      </c>
      <c r="H156" s="16" t="inlineStr">
        <is>
          <t>Tsuboya Yachimun Street</t>
        </is>
      </c>
      <c r="I156" s="16" t="inlineStr">
        <is>
          <t>壺屋やちむん通り</t>
        </is>
      </c>
      <c r="J156" s="16" t="inlineStr">
        <is>
          <t>Tsuboya Yachimun Street</t>
        </is>
      </c>
      <c r="K156" s="16" t="inlineStr">
        <is>
          <t>🎭 Cultura tradicional</t>
        </is>
      </c>
      <c r="L156" s="16" t="inlineStr">
        <is>
          <t>calle artesanal</t>
        </is>
      </c>
      <c r="M156" s="16" t="inlineStr">
        <is>
          <t>A</t>
        </is>
      </c>
      <c r="N156" s="16" t="inlineStr">
        <is>
          <t>Cerámica viva, talleres y arquitectura con menor ruido que Kokusai-dori.</t>
        </is>
      </c>
      <c r="O156" s="16" t="inlineStr">
        <is>
          <t>Calle de hornos, galerías y museo de cerámica Ryukyu.</t>
        </is>
      </c>
      <c r="P156" s="16" t="inlineStr">
        <is>
          <t>La tradición yachimun sigue produciéndose y vendiéndose localmente.</t>
        </is>
      </c>
      <c r="Q156" s="16" t="inlineStr">
        <is>
          <t>Calle de hornos, galerías y museo de cerámica Ryukyu.</t>
        </is>
      </c>
      <c r="R156" s="16" t="inlineStr">
        <is>
          <t>1.5–3 h</t>
        </is>
      </c>
      <c r="S156" s="16" t="inlineStr">
        <is>
          <t>Tarde</t>
        </is>
      </c>
      <c r="T156" s="16" t="inlineStr">
        <is>
          <t>Todo el año</t>
        </is>
      </c>
      <c r="U156" s="16" t="inlineStr">
        <is>
          <t>Medio</t>
        </is>
      </c>
      <c r="V156" s="16" t="inlineStr">
        <is>
          <t>Medio</t>
        </is>
      </c>
      <c r="W156" s="89" t="n">
        <v>0</v>
      </c>
      <c r="X156" s="89" t="n">
        <v>10000</v>
      </c>
      <c r="Y156" s="89">
        <f>W156*'Configuración'!$B$4</f>
        <v/>
      </c>
      <c r="Z156" s="89">
        <f>X156*'Configuración'!$B$4</f>
        <v/>
      </c>
      <c r="AA156" s="16" t="inlineStr">
        <is>
          <t>Recomendable</t>
        </is>
      </c>
      <c r="AB156" s="16" t="inlineStr">
        <is>
          <t>Para taller, días</t>
        </is>
      </c>
      <c r="AC156" s="16" t="inlineStr">
        <is>
          <t>Talleres variables</t>
        </is>
      </c>
      <c r="AD156" s="16" t="inlineStr">
        <is>
          <t>Según taller</t>
        </is>
      </c>
      <c r="AE156" s="16" t="inlineStr">
        <is>
          <t>Makishi + 10 min</t>
        </is>
      </c>
      <c r="AF156" s="16" t="inlineStr">
        <is>
          <t>Buena en áreas principales; confirmar detalles con el recinto</t>
        </is>
      </c>
      <c r="AG156" s="90" t="n">
        <v>26.211</v>
      </c>
      <c r="AH156" s="90" t="n">
        <v>127.6916</v>
      </c>
      <c r="AI156" s="16" t="inlineStr">
        <is>
          <t>https://visitokinawajapan.com/</t>
        </is>
      </c>
      <c r="AJ156" s="16" t="inlineStr">
        <is>
          <t>Cambiante</t>
        </is>
      </c>
      <c r="AK156" s="16" t="inlineStr">
        <is>
          <t>CRAFT / HIDDEN</t>
        </is>
      </c>
      <c r="AL156" s="16" t="inlineStr">
        <is>
          <t>artesanía, compras, cultura</t>
        </is>
      </c>
      <c r="AM156" s="91" t="n">
        <v>4</v>
      </c>
      <c r="AN156" s="91" t="n">
        <v>5</v>
      </c>
      <c r="AO156" s="91" t="n">
        <v>5</v>
      </c>
      <c r="AP156" s="91" t="n">
        <v>2</v>
      </c>
      <c r="AQ156" s="16" t="inlineStr">
        <is>
          <t>Imagen ideal: la tradición yachimun sigue produciéndose y vendiéndose localmente. con luz de tarde, sin multitudes dominando el encuadre.</t>
        </is>
      </c>
      <c r="AR156" s="16" t="inlineStr">
        <is>
          <t>First Makishi Public Market (~8 min a pie) | Sakaemachi Arcade nightlife (~11 min a pie) | Kokusai Street (~12 min a pie)</t>
        </is>
      </c>
      <c r="AS156" s="16" t="inlineStr">
        <is>
          <t>Semi-hidden</t>
        </is>
      </c>
      <c r="AT156" s="16" t="str"/>
      <c r="AU156" s="16" t="inlineStr">
        <is>
          <t>https://www.google.com/maps/search/?api=1&amp;query=Tsuboya%20Yachimun%20Street%2C%20Naha%2C%20Japan</t>
        </is>
      </c>
      <c r="AV156" s="16" t="inlineStr">
        <is>
          <t>2026-09-01</t>
        </is>
      </c>
      <c r="AW156" s="16" t="inlineStr">
        <is>
          <t>CALENDARIO / CONDICIÓN PENDIENTE</t>
        </is>
      </c>
      <c r="AX156" s="16" t="inlineStr">
        <is>
          <t>No hay cierre específico confirmado para la ventana, pero horarios o acceso pueden variar.</t>
        </is>
      </c>
      <c r="AY156" s="16" t="inlineStr">
        <is>
          <t>Reconfirmar en la web oficial al fijar fechas.</t>
        </is>
      </c>
    </row>
    <row r="157" ht="66" customHeight="1">
      <c r="A157" s="16" t="inlineStr">
        <is>
          <t>JP-156</t>
        </is>
      </c>
      <c r="B157" s="16" t="inlineStr">
        <is>
          <t>Okinawa</t>
        </is>
      </c>
      <c r="C157" s="16" t="inlineStr">
        <is>
          <t>Okinawa</t>
        </is>
      </c>
      <c r="D157" s="16" t="inlineStr">
        <is>
          <t>Okinawa</t>
        </is>
      </c>
      <c r="E157" s="16" t="inlineStr">
        <is>
          <t>Naha</t>
        </is>
      </c>
      <c r="F157" s="16" t="inlineStr">
        <is>
          <t>Sakaemachi</t>
        </is>
      </c>
      <c r="G157" s="16" t="inlineStr">
        <is>
          <t>Naha</t>
        </is>
      </c>
      <c r="H157" s="16" t="inlineStr">
        <is>
          <t>Sakaemachi Arcade nightlife</t>
        </is>
      </c>
      <c r="I157" s="16" t="inlineStr">
        <is>
          <t>栄町市場</t>
        </is>
      </c>
      <c r="J157" s="16" t="inlineStr">
        <is>
          <t>Sakaemachi Arcade nightlife</t>
        </is>
      </c>
      <c r="K157" s="16" t="inlineStr">
        <is>
          <t>🌃 Nocturno</t>
        </is>
      </c>
      <c r="L157" s="16" t="inlineStr">
        <is>
          <t>mercado/barrio nocturno</t>
        </is>
      </c>
      <c r="M157" s="16" t="inlineStr">
        <is>
          <t>A</t>
        </is>
      </c>
      <c r="N157" s="16" t="inlineStr">
        <is>
          <t>El mejor ambiente local nocturno de Naha, lejos de complejos turísticos.</t>
        </is>
      </c>
      <c r="O157" s="16" t="inlineStr">
        <is>
          <t>Mercado diurno que se transforma en izakayas y pequeños bares.</t>
        </is>
      </c>
      <c r="P157" s="16" t="inlineStr">
        <is>
          <t>Escala íntima, música y clientela local.</t>
        </is>
      </c>
      <c r="Q157" s="16" t="inlineStr">
        <is>
          <t>Mercado diurno que se transforma en izakayas y pequeños bares.</t>
        </is>
      </c>
      <c r="R157" s="16" t="inlineStr">
        <is>
          <t>2–4 h</t>
        </is>
      </c>
      <c r="S157" s="16" t="inlineStr">
        <is>
          <t>Noche</t>
        </is>
      </c>
      <c r="T157" s="16" t="inlineStr">
        <is>
          <t>Todo el año</t>
        </is>
      </c>
      <c r="U157" s="16" t="inlineStr">
        <is>
          <t>Medio</t>
        </is>
      </c>
      <c r="V157" s="16" t="inlineStr">
        <is>
          <t>Bajo</t>
        </is>
      </c>
      <c r="W157" s="89" t="n">
        <v>1500</v>
      </c>
      <c r="X157" s="89" t="n">
        <v>6000</v>
      </c>
      <c r="Y157" s="89">
        <f>W157*'Configuración'!$B$4</f>
        <v/>
      </c>
      <c r="Z157" s="89">
        <f>X157*'Configuración'!$B$4</f>
        <v/>
      </c>
      <c r="AA157" s="16" t="inlineStr">
        <is>
          <t>Recomendable</t>
        </is>
      </c>
      <c r="AB157" s="16" t="inlineStr">
        <is>
          <t>Mismo día en locales pequeños</t>
        </is>
      </c>
      <c r="AC157" s="16" t="inlineStr">
        <is>
          <t>Tarde–madrugada según local</t>
        </is>
      </c>
      <c r="AD157" s="16" t="inlineStr">
        <is>
          <t>Según local</t>
        </is>
      </c>
      <c r="AE157" s="16" t="inlineStr">
        <is>
          <t>Monorail Asato</t>
        </is>
      </c>
      <c r="AF157" s="16" t="inlineStr">
        <is>
          <t>Buena en áreas principales; confirmar detalles con el recinto</t>
        </is>
      </c>
      <c r="AG157" s="90" t="n">
        <v>26.2171</v>
      </c>
      <c r="AH157" s="90" t="n">
        <v>127.6955</v>
      </c>
      <c r="AI157" s="16" t="inlineStr">
        <is>
          <t>https://visitokinawajapan.com/</t>
        </is>
      </c>
      <c r="AJ157" s="16" t="inlineStr">
        <is>
          <t>Cambiante</t>
        </is>
      </c>
      <c r="AK157" s="16" t="inlineStr">
        <is>
          <t>HIDDEN GEM / NIGHT</t>
        </is>
      </c>
      <c r="AL157" s="16" t="inlineStr">
        <is>
          <t>pareja, comida, noche, cultura local</t>
        </is>
      </c>
      <c r="AM157" s="91" t="n">
        <v>4</v>
      </c>
      <c r="AN157" s="91" t="n">
        <v>5</v>
      </c>
      <c r="AO157" s="91" t="n">
        <v>5</v>
      </c>
      <c r="AP157" s="91" t="n">
        <v>2</v>
      </c>
      <c r="AQ157" s="16" t="inlineStr">
        <is>
          <t>Imagen ideal: escala íntima, música y clientela local. con luz de noche, sin multitudes dominando el encuadre.</t>
        </is>
      </c>
      <c r="AR157" s="16" t="inlineStr">
        <is>
          <t>Tsuboya Yachimun Street (~11 min a pie) | First Makishi Public Market (~12 min a pie) | Okinawa Prefectural Museum &amp; Art Museum (~15 min a pie)</t>
        </is>
      </c>
      <c r="AS157" s="16" t="inlineStr">
        <is>
          <t>Hidden Gem real</t>
        </is>
      </c>
      <c r="AT157" s="16" t="str"/>
      <c r="AU157" s="16" t="inlineStr">
        <is>
          <t>https://www.google.com/maps/search/?api=1&amp;query=Sakaemachi%20Arcade%20nightlife%2C%20Naha%2C%20Japan</t>
        </is>
      </c>
      <c r="AV157" s="16" t="inlineStr">
        <is>
          <t>2026-09-01</t>
        </is>
      </c>
      <c r="AW157" s="16" t="inlineStr">
        <is>
          <t>CALENDARIO / CONDICIÓN PENDIENTE</t>
        </is>
      </c>
      <c r="AX157" s="16" t="inlineStr">
        <is>
          <t>No hay cierre específico confirmado para la ventana, pero horarios o acceso pueden variar.</t>
        </is>
      </c>
      <c r="AY157" s="16" t="inlineStr">
        <is>
          <t>Reconfirmar en la web oficial al fijar fechas.</t>
        </is>
      </c>
    </row>
    <row r="158" ht="66" customHeight="1">
      <c r="A158" s="16" t="inlineStr">
        <is>
          <t>JP-157</t>
        </is>
      </c>
      <c r="B158" s="16" t="inlineStr">
        <is>
          <t>Okinawa</t>
        </is>
      </c>
      <c r="C158" s="16" t="inlineStr">
        <is>
          <t>Okinawa</t>
        </is>
      </c>
      <c r="D158" s="16" t="inlineStr">
        <is>
          <t>Okinawa</t>
        </is>
      </c>
      <c r="E158" s="16" t="inlineStr">
        <is>
          <t>Naha</t>
        </is>
      </c>
      <c r="F158" s="16" t="inlineStr">
        <is>
          <t>Shuri</t>
        </is>
      </c>
      <c r="G158" s="16" t="inlineStr">
        <is>
          <t>Shuri</t>
        </is>
      </c>
      <c r="H158" s="16" t="inlineStr">
        <is>
          <t>Shurijo Castle Park</t>
        </is>
      </c>
      <c r="I158" s="16" t="inlineStr">
        <is>
          <t>首里城公園</t>
        </is>
      </c>
      <c r="J158" s="16" t="inlineStr">
        <is>
          <t>Shurijo Castle Park</t>
        </is>
      </c>
      <c r="K158" s="16" t="inlineStr">
        <is>
          <t>🏯 Historia y patrimonio</t>
        </is>
      </c>
      <c r="L158" s="16" t="inlineStr">
        <is>
          <t>castillo/palacio</t>
        </is>
      </c>
      <c r="M158" s="16" t="inlineStr">
        <is>
          <t>S</t>
        </is>
      </c>
      <c r="N158" s="16" t="inlineStr">
        <is>
          <t>Centro político y cultural Ryukyu; su reconstrucción añade una capa histórica viva.</t>
        </is>
      </c>
      <c r="O158" s="16" t="inlineStr">
        <is>
          <t>Complejo real de Shuri en proceso final de reconstrucción del Seiden.</t>
        </is>
      </c>
      <c r="P158" s="16" t="inlineStr">
        <is>
          <t>Arquitectura Ryukyu distinta de los castillos japoneses continentales.</t>
        </is>
      </c>
      <c r="Q158" s="16" t="inlineStr">
        <is>
          <t>Complejo real de Shuri en proceso final de reconstrucción del Seiden.</t>
        </is>
      </c>
      <c r="R158" s="16" t="inlineStr">
        <is>
          <t>2–3 h</t>
        </is>
      </c>
      <c r="S158" s="16" t="inlineStr">
        <is>
          <t>Mañana</t>
        </is>
      </c>
      <c r="T158" s="16" t="inlineStr">
        <is>
          <t>Todo el año</t>
        </is>
      </c>
      <c r="U158" s="16" t="inlineStr">
        <is>
          <t>Alto</t>
        </is>
      </c>
      <c r="V158" s="16" t="inlineStr">
        <is>
          <t>Alto</t>
        </is>
      </c>
      <c r="W158" s="89" t="n">
        <v>1000</v>
      </c>
      <c r="X158" s="89" t="n">
        <v>1000</v>
      </c>
      <c r="Y158" s="89">
        <f>W158*'Configuración'!$B$4</f>
        <v/>
      </c>
      <c r="Z158" s="89">
        <f>X158*'Configuración'!$B$4</f>
        <v/>
      </c>
      <c r="AA158" s="16" t="inlineStr">
        <is>
          <t>Sí</t>
        </is>
      </c>
      <c r="AB158" s="16" t="inlineStr">
        <is>
          <t>Para Seiden desde 23 nov 2026, revisar reserva</t>
        </is>
      </c>
      <c r="AC158" s="16" t="inlineStr">
        <is>
          <t>Horario y tarifa revisados desde apertura</t>
        </is>
      </c>
      <c r="AD158" s="16" t="inlineStr">
        <is>
          <t>Mantenimiento/eventos</t>
        </is>
      </c>
      <c r="AE158" s="16" t="inlineStr">
        <is>
          <t>Monorail Shuri + bus/paseo</t>
        </is>
      </c>
      <c r="AF158" s="16" t="inlineStr">
        <is>
          <t>Parcial; pueden existir escalones, grava o edificios sin elevador</t>
        </is>
      </c>
      <c r="AG158" s="90" t="n">
        <v>26.217</v>
      </c>
      <c r="AH158" s="90" t="n">
        <v>127.7195</v>
      </c>
      <c r="AI158" s="16" t="inlineStr">
        <is>
          <t>https://oki-park.jp/shurijo/en/</t>
        </is>
      </c>
      <c r="AJ158" s="16" t="inlineStr">
        <is>
          <t>Cambiante</t>
        </is>
      </c>
      <c r="AK158" s="16" t="inlineStr">
        <is>
          <t>MUST SEE / REOPENING</t>
        </is>
      </c>
      <c r="AL158" s="16" t="inlineStr">
        <is>
          <t>historia, arquitectura, cultura</t>
        </is>
      </c>
      <c r="AM158" s="91" t="n">
        <v>5</v>
      </c>
      <c r="AN158" s="91" t="n">
        <v>5</v>
      </c>
      <c r="AO158" s="91" t="n">
        <v>5</v>
      </c>
      <c r="AP158" s="91" t="n">
        <v>4</v>
      </c>
      <c r="AQ158" s="16" t="inlineStr">
        <is>
          <t>Imagen ideal: arquitectura ryukyu distinta de los castillos japoneses continentales. con luz de mañana, sin multitudes dominando el encuadre.</t>
        </is>
      </c>
      <c r="AR158" s="16" t="inlineStr">
        <is>
          <t>Kinjo-cho Stone-Paved Road (~5 min a pie) | Tamaudun Royal Mausoleum (~7 min a pie) | Shikina-en Royal Garden (~20 min a pie)</t>
        </is>
      </c>
      <c r="AS158" s="16" t="inlineStr">
        <is>
          <t>Popular / turístico</t>
        </is>
      </c>
      <c r="AT158" s="16" t="str"/>
      <c r="AU158" s="16" t="inlineStr">
        <is>
          <t>https://www.google.com/maps/search/?api=1&amp;query=Shurijo%20Castle%20Park%2C%20Naha%2C%20Japan</t>
        </is>
      </c>
      <c r="AV158" s="16" t="inlineStr">
        <is>
          <t>2026-09-01</t>
        </is>
      </c>
      <c r="AW158" s="16" t="inlineStr">
        <is>
          <t>ABIERTO CONFIRMADO</t>
        </is>
      </c>
      <c r="AX158" s="16" t="inlineStr">
        <is>
          <t>El Seiden abrió al público el 23 nov 2026; otros trabajos del complejo pueden continuar.</t>
        </is>
      </c>
      <c r="AY158" s="16" t="inlineStr">
        <is>
          <t>Reconfirmar condiciones y reserva del interior del Seiden.</t>
        </is>
      </c>
    </row>
    <row r="159" ht="66" customHeight="1">
      <c r="A159" s="16" t="inlineStr">
        <is>
          <t>JP-158</t>
        </is>
      </c>
      <c r="B159" s="16" t="inlineStr">
        <is>
          <t>Okinawa</t>
        </is>
      </c>
      <c r="C159" s="16" t="inlineStr">
        <is>
          <t>Okinawa</t>
        </is>
      </c>
      <c r="D159" s="16" t="inlineStr">
        <is>
          <t>Okinawa</t>
        </is>
      </c>
      <c r="E159" s="16" t="inlineStr">
        <is>
          <t>Naha</t>
        </is>
      </c>
      <c r="F159" s="16" t="inlineStr">
        <is>
          <t>Shuri</t>
        </is>
      </c>
      <c r="G159" s="16" t="inlineStr">
        <is>
          <t>Shuri</t>
        </is>
      </c>
      <c r="H159" s="16" t="inlineStr">
        <is>
          <t>Tamaudun Royal Mausoleum</t>
        </is>
      </c>
      <c r="I159" s="16" t="inlineStr">
        <is>
          <t>玉陵</t>
        </is>
      </c>
      <c r="J159" s="16" t="inlineStr">
        <is>
          <t>Tamaudun Royal Mausoleum</t>
        </is>
      </c>
      <c r="K159" s="16" t="inlineStr">
        <is>
          <t>🏯 Historia y patrimonio</t>
        </is>
      </c>
      <c r="L159" s="16" t="inlineStr">
        <is>
          <t>mausoleo</t>
        </is>
      </c>
      <c r="M159" s="16" t="inlineStr">
        <is>
          <t>A</t>
        </is>
      </c>
      <c r="N159" s="16" t="inlineStr">
        <is>
          <t>Sitio compacto y poderoso para comprender la dinastía Ryukyu.</t>
        </is>
      </c>
      <c r="O159" s="16" t="inlineStr">
        <is>
          <t>Mausoleo de piedra de los reyes Ryukyu cerca de Shurijo.</t>
        </is>
      </c>
      <c r="P159" s="16" t="inlineStr">
        <is>
          <t>La arquitectura funeraria de piedra es única en Japón.</t>
        </is>
      </c>
      <c r="Q159" s="16" t="inlineStr">
        <is>
          <t>Mausoleo de piedra de los reyes Ryukyu cerca de Shurijo.</t>
        </is>
      </c>
      <c r="R159" s="16" t="inlineStr">
        <is>
          <t>45–75 min</t>
        </is>
      </c>
      <c r="S159" s="16" t="inlineStr">
        <is>
          <t>Mañana</t>
        </is>
      </c>
      <c r="T159" s="16" t="inlineStr">
        <is>
          <t>Todo el año</t>
        </is>
      </c>
      <c r="U159" s="16" t="inlineStr">
        <is>
          <t>Bajo</t>
        </is>
      </c>
      <c r="V159" s="16" t="inlineStr">
        <is>
          <t>Bajo</t>
        </is>
      </c>
      <c r="W159" s="89" t="n">
        <v>300</v>
      </c>
      <c r="X159" s="89" t="n">
        <v>300</v>
      </c>
      <c r="Y159" s="89">
        <f>W159*'Configuración'!$B$4</f>
        <v/>
      </c>
      <c r="Z159" s="89">
        <f>X159*'Configuración'!$B$4</f>
        <v/>
      </c>
      <c r="AA159" s="16" t="inlineStr">
        <is>
          <t>No</t>
        </is>
      </c>
      <c r="AB159" s="16" t="inlineStr">
        <is>
          <t>—</t>
        </is>
      </c>
      <c r="AC159" s="16" t="inlineStr">
        <is>
          <t>09:00–18:00 aprox.</t>
        </is>
      </c>
      <c r="AD159" s="16" t="inlineStr">
        <is>
          <t>Sin cierre ordinario</t>
        </is>
      </c>
      <c r="AE159" s="16" t="inlineStr">
        <is>
          <t>Monorail Shuri + paseo</t>
        </is>
      </c>
      <c r="AF159" s="16" t="inlineStr">
        <is>
          <t>Buena en áreas principales; confirmar detalles con el recinto</t>
        </is>
      </c>
      <c r="AG159" s="90" t="n">
        <v>26.2191</v>
      </c>
      <c r="AH159" s="90" t="n">
        <v>127.7153</v>
      </c>
      <c r="AI159" s="16" t="inlineStr">
        <is>
          <t>https://visitokinawajapan.com/discover/world-heritage-top/tamaudun/</t>
        </is>
      </c>
      <c r="AJ159" s="16" t="inlineStr">
        <is>
          <t>Cambiante</t>
        </is>
      </c>
      <c r="AK159" s="16" t="inlineStr">
        <is>
          <t>HIDDEN GEM / HISTORY</t>
        </is>
      </c>
      <c r="AL159" s="16" t="inlineStr">
        <is>
          <t>historia, arquitectura, cultura</t>
        </is>
      </c>
      <c r="AM159" s="91" t="n">
        <v>4</v>
      </c>
      <c r="AN159" s="91" t="n">
        <v>5</v>
      </c>
      <c r="AO159" s="91" t="n">
        <v>5</v>
      </c>
      <c r="AP159" s="91" t="n">
        <v>1</v>
      </c>
      <c r="AQ159" s="16" t="inlineStr">
        <is>
          <t>Imagen ideal: la arquitectura funeraria de piedra es única en japón. con luz de mañana, sin multitudes dominando el encuadre.</t>
        </is>
      </c>
      <c r="AR159" s="16" t="inlineStr">
        <is>
          <t>Shurijo Castle Park (~7 min a pie) | Kinjo-cho Stone-Paved Road (~10 min a pie) | Shikina-en Royal Garden (~22 min a pie)</t>
        </is>
      </c>
      <c r="AS159" s="16" t="inlineStr">
        <is>
          <t>Semi-hidden</t>
        </is>
      </c>
      <c r="AT159" s="16" t="str"/>
      <c r="AU159" s="16" t="inlineStr">
        <is>
          <t>https://www.google.com/maps/search/?api=1&amp;query=Tamaudun%20Royal%20Mausoleum%2C%20Naha%2C%20Japan</t>
        </is>
      </c>
      <c r="AV159" s="16" t="inlineStr">
        <is>
          <t>2026-09-01</t>
        </is>
      </c>
      <c r="AW159" s="16" t="inlineStr">
        <is>
          <t>CALENDARIO / CONDICIÓN PENDIENTE</t>
        </is>
      </c>
      <c r="AX159" s="16" t="inlineStr">
        <is>
          <t>No hay cierre específico confirmado para la ventana, pero horarios o acceso pueden variar.</t>
        </is>
      </c>
      <c r="AY159" s="16" t="inlineStr">
        <is>
          <t>Reconfirmar en la web oficial al fijar fechas.</t>
        </is>
      </c>
    </row>
    <row r="160" ht="66" customHeight="1">
      <c r="A160" s="16" t="inlineStr">
        <is>
          <t>JP-159</t>
        </is>
      </c>
      <c r="B160" s="16" t="inlineStr">
        <is>
          <t>Okinawa</t>
        </is>
      </c>
      <c r="C160" s="16" t="inlineStr">
        <is>
          <t>Okinawa</t>
        </is>
      </c>
      <c r="D160" s="16" t="inlineStr">
        <is>
          <t>Okinawa</t>
        </is>
      </c>
      <c r="E160" s="16" t="inlineStr">
        <is>
          <t>Naha</t>
        </is>
      </c>
      <c r="F160" s="16" t="inlineStr">
        <is>
          <t>Shuri</t>
        </is>
      </c>
      <c r="G160" s="16" t="inlineStr">
        <is>
          <t>Shuri</t>
        </is>
      </c>
      <c r="H160" s="16" t="inlineStr">
        <is>
          <t>Kinjo-cho Stone-Paved Road</t>
        </is>
      </c>
      <c r="I160" s="16" t="inlineStr">
        <is>
          <t>首里金城町石畳道</t>
        </is>
      </c>
      <c r="J160" s="16" t="inlineStr">
        <is>
          <t>Kinjo-cho Stone-Paved Road</t>
        </is>
      </c>
      <c r="K160" s="16" t="inlineStr">
        <is>
          <t>🏙️ Ciudad y barrios</t>
        </is>
      </c>
      <c r="L160" s="16" t="inlineStr">
        <is>
          <t>calle histórica</t>
        </is>
      </c>
      <c r="M160" s="16" t="inlineStr">
        <is>
          <t>A</t>
        </is>
      </c>
      <c r="N160" s="16" t="inlineStr">
        <is>
          <t>Tramo urbano auténtico que muestra el Shuri residencial y su topografía.</t>
        </is>
      </c>
      <c r="O160" s="16" t="inlineStr">
        <is>
          <t>Calzada de piedra Ryukyu entre muros, árboles y casas.</t>
        </is>
      </c>
      <c r="P160" s="16" t="inlineStr">
        <is>
          <t>La pendiente y materialidad comunican más que una reconstrucción.</t>
        </is>
      </c>
      <c r="Q160" s="16" t="inlineStr">
        <is>
          <t>Calzada de piedra Ryukyu entre muros, árboles y casas.</t>
        </is>
      </c>
      <c r="R160" s="16" t="inlineStr">
        <is>
          <t>45–90 min</t>
        </is>
      </c>
      <c r="S160" s="16" t="inlineStr">
        <is>
          <t>Mañana</t>
        </is>
      </c>
      <c r="T160" s="16" t="inlineStr">
        <is>
          <t>Todo el año; evitar lluvia fuerte</t>
        </is>
      </c>
      <c r="U160" s="16" t="inlineStr">
        <is>
          <t>Bajo</t>
        </is>
      </c>
      <c r="V160" s="16" t="inlineStr">
        <is>
          <t>Bajo</t>
        </is>
      </c>
      <c r="W160" s="89" t="n">
        <v>0</v>
      </c>
      <c r="X160" s="89" t="n">
        <v>0</v>
      </c>
      <c r="Y160" s="89">
        <f>W160*'Configuración'!$B$4</f>
        <v/>
      </c>
      <c r="Z160" s="89">
        <f>X160*'Configuración'!$B$4</f>
        <v/>
      </c>
      <c r="AA160" s="16" t="inlineStr">
        <is>
          <t>No</t>
        </is>
      </c>
      <c r="AB160" s="16" t="inlineStr">
        <is>
          <t>—</t>
        </is>
      </c>
      <c r="AC160" s="16" t="inlineStr">
        <is>
          <t>Espacio público 24 h</t>
        </is>
      </c>
      <c r="AD160" s="16" t="inlineStr">
        <is>
          <t>Superficie resbalosa con lluvia</t>
        </is>
      </c>
      <c r="AE160" s="16" t="inlineStr">
        <is>
          <t>Shuri + descenso a pie</t>
        </is>
      </c>
      <c r="AF160" s="16" t="inlineStr">
        <is>
          <t>Buena en áreas principales; confirmar detalles con el recinto</t>
        </is>
      </c>
      <c r="AG160" s="90" t="n">
        <v>26.2136</v>
      </c>
      <c r="AH160" s="90" t="n">
        <v>127.7191</v>
      </c>
      <c r="AI160" s="16" t="inlineStr">
        <is>
          <t>https://visitokinawajapan.com/</t>
        </is>
      </c>
      <c r="AJ160" s="16" t="inlineStr">
        <is>
          <t>Cambiante</t>
        </is>
      </c>
      <c r="AK160" s="16" t="inlineStr">
        <is>
          <t>HIDDEN GEM</t>
        </is>
      </c>
      <c r="AL160" s="16" t="inlineStr">
        <is>
          <t>fotografía, historia, caminar</t>
        </is>
      </c>
      <c r="AM160" s="91" t="n">
        <v>4</v>
      </c>
      <c r="AN160" s="91" t="n">
        <v>5</v>
      </c>
      <c r="AO160" s="91" t="n">
        <v>5</v>
      </c>
      <c r="AP160" s="91" t="n">
        <v>1</v>
      </c>
      <c r="AQ160" s="16" t="inlineStr">
        <is>
          <t>Imagen ideal: la pendiente y materialidad comunican más que una reconstrucción. con luz de mañana, sin multitudes dominando el encuadre.</t>
        </is>
      </c>
      <c r="AR160" s="16" t="inlineStr">
        <is>
          <t>Shurijo Castle Park (~5 min a pie) | Tamaudun Royal Mausoleum (~10 min a pie) | Shikina-en Royal Garden (~15 min a pie)</t>
        </is>
      </c>
      <c r="AS160" s="16" t="inlineStr">
        <is>
          <t>Hidden Gem real</t>
        </is>
      </c>
      <c r="AT160" s="16" t="str"/>
      <c r="AU160" s="16" t="inlineStr">
        <is>
          <t>https://www.google.com/maps/search/?api=1&amp;query=Kinjo-cho%20Stone-Paved%20Road%2C%20Naha%2C%20Japan</t>
        </is>
      </c>
      <c r="AV160" s="16" t="inlineStr">
        <is>
          <t>2026-09-01</t>
        </is>
      </c>
      <c r="AW160" s="16" t="inlineStr">
        <is>
          <t>CALENDARIO / CONDICIÓN PENDIENTE</t>
        </is>
      </c>
      <c r="AX160" s="16" t="inlineStr">
        <is>
          <t>No hay cierre específico confirmado para la ventana, pero horarios o acceso pueden variar.</t>
        </is>
      </c>
      <c r="AY160" s="16" t="inlineStr">
        <is>
          <t>Reconfirmar en la web oficial al fijar fechas.</t>
        </is>
      </c>
    </row>
    <row r="161" ht="66" customHeight="1">
      <c r="A161" s="16" t="inlineStr">
        <is>
          <t>JP-160</t>
        </is>
      </c>
      <c r="B161" s="16" t="inlineStr">
        <is>
          <t>Okinawa</t>
        </is>
      </c>
      <c r="C161" s="16" t="inlineStr">
        <is>
          <t>Okinawa</t>
        </is>
      </c>
      <c r="D161" s="16" t="inlineStr">
        <is>
          <t>Okinawa</t>
        </is>
      </c>
      <c r="E161" s="16" t="inlineStr">
        <is>
          <t>Naha</t>
        </is>
      </c>
      <c r="F161" s="16" t="inlineStr">
        <is>
          <t>Maji</t>
        </is>
      </c>
      <c r="G161" s="16" t="inlineStr">
        <is>
          <t>Naha</t>
        </is>
      </c>
      <c r="H161" s="16" t="inlineStr">
        <is>
          <t>Shikina-en Royal Garden</t>
        </is>
      </c>
      <c r="I161" s="16" t="inlineStr">
        <is>
          <t>識名園</t>
        </is>
      </c>
      <c r="J161" s="16" t="inlineStr">
        <is>
          <t>Shikina-en Royal Garden</t>
        </is>
      </c>
      <c r="K161" s="16" t="inlineStr">
        <is>
          <t>🌸 Jardines y paisajes</t>
        </is>
      </c>
      <c r="L161" s="16" t="inlineStr">
        <is>
          <t>jardín histórico</t>
        </is>
      </c>
      <c r="M161" s="16" t="inlineStr">
        <is>
          <t>A</t>
        </is>
      </c>
      <c r="N161" s="16" t="inlineStr">
        <is>
          <t>Paisaje real Ryukyu con arquitectura y agua, mucho menos saturado que Shurijo.</t>
        </is>
      </c>
      <c r="O161" s="16" t="inlineStr">
        <is>
          <t>Villa y jardín usados para recibir enviados chinos.</t>
        </is>
      </c>
      <c r="P161" s="16" t="inlineStr">
        <is>
          <t>Fusiona diseño Ryukyu, japonés y chino.</t>
        </is>
      </c>
      <c r="Q161" s="16" t="inlineStr">
        <is>
          <t>Villa y jardín usados para recibir enviados chinos.</t>
        </is>
      </c>
      <c r="R161" s="16" t="inlineStr">
        <is>
          <t>1.5–2 h</t>
        </is>
      </c>
      <c r="S161" s="16" t="inlineStr">
        <is>
          <t>Mañana</t>
        </is>
      </c>
      <c r="T161" s="16" t="inlineStr">
        <is>
          <t>Todo el año</t>
        </is>
      </c>
      <c r="U161" s="16" t="inlineStr">
        <is>
          <t>Bajo</t>
        </is>
      </c>
      <c r="V161" s="16" t="inlineStr">
        <is>
          <t>Bajo</t>
        </is>
      </c>
      <c r="W161" s="89" t="n">
        <v>400</v>
      </c>
      <c r="X161" s="89" t="n">
        <v>400</v>
      </c>
      <c r="Y161" s="89">
        <f>W161*'Configuración'!$B$4</f>
        <v/>
      </c>
      <c r="Z161" s="89">
        <f>X161*'Configuración'!$B$4</f>
        <v/>
      </c>
      <c r="AA161" s="16" t="inlineStr">
        <is>
          <t>No</t>
        </is>
      </c>
      <c r="AB161" s="16" t="inlineStr">
        <is>
          <t>—</t>
        </is>
      </c>
      <c r="AC161" s="16" t="inlineStr">
        <is>
          <t>09:00–18:00 según temporada</t>
        </is>
      </c>
      <c r="AD161" s="16" t="inlineStr">
        <is>
          <t>Miércoles; verificar</t>
        </is>
      </c>
      <c r="AE161" s="16" t="inlineStr">
        <is>
          <t>Bus/taxi desde Naha</t>
        </is>
      </c>
      <c r="AF161" s="16" t="inlineStr">
        <is>
          <t>Parcial; pueden existir escalones, grava o edificios sin elevador</t>
        </is>
      </c>
      <c r="AG161" s="90" t="n">
        <v>26.2048</v>
      </c>
      <c r="AH161" s="90" t="n">
        <v>127.7156</v>
      </c>
      <c r="AI161" s="16" t="inlineStr">
        <is>
          <t>https://visitokinawajapan.com/discover/world-heritage-top/shikinaen-royal-garden/</t>
        </is>
      </c>
      <c r="AJ161" s="16" t="inlineStr">
        <is>
          <t>Cambiante</t>
        </is>
      </c>
      <c r="AK161" s="16" t="inlineStr">
        <is>
          <t>HIDDEN GEM</t>
        </is>
      </c>
      <c r="AL161" s="16" t="inlineStr">
        <is>
          <t>pareja, jardines, historia</t>
        </is>
      </c>
      <c r="AM161" s="91" t="n">
        <v>5</v>
      </c>
      <c r="AN161" s="91" t="n">
        <v>5</v>
      </c>
      <c r="AO161" s="91" t="n">
        <v>5</v>
      </c>
      <c r="AP161" s="91" t="n">
        <v>1</v>
      </c>
      <c r="AQ161" s="16" t="inlineStr">
        <is>
          <t>Imagen ideal: fusiona diseño ryukyu, japonés y chino. con luz de mañana, sin multitudes dominando el encuadre.</t>
        </is>
      </c>
      <c r="AR161" s="16" t="inlineStr">
        <is>
          <t>Kinjo-cho Stone-Paved Road (~15 min a pie) | Shurijo Castle Park (~20 min a pie) | Tamaudun Royal Mausoleum (~22 min a pie)</t>
        </is>
      </c>
      <c r="AS161" s="16" t="inlineStr">
        <is>
          <t>Hidden Gem real</t>
        </is>
      </c>
      <c r="AT161" s="16" t="str"/>
      <c r="AU161" s="16" t="inlineStr">
        <is>
          <t>https://www.google.com/maps/search/?api=1&amp;query=Shikina-en%20Royal%20Garden%2C%20Naha%2C%20Japan</t>
        </is>
      </c>
      <c r="AV161" s="16" t="inlineStr">
        <is>
          <t>2026-09-01</t>
        </is>
      </c>
      <c r="AW161" s="16" t="inlineStr">
        <is>
          <t>CALENDARIO / CONDICIÓN PENDIENTE</t>
        </is>
      </c>
      <c r="AX161" s="16" t="inlineStr">
        <is>
          <t>No hay cierre específico confirmado para la ventana, pero horarios o acceso pueden variar.</t>
        </is>
      </c>
      <c r="AY161" s="16" t="inlineStr">
        <is>
          <t>Reconfirmar en la web oficial al fijar fechas.</t>
        </is>
      </c>
    </row>
    <row r="162" ht="66" customHeight="1">
      <c r="A162" s="16" t="inlineStr">
        <is>
          <t>JP-161</t>
        </is>
      </c>
      <c r="B162" s="16" t="inlineStr">
        <is>
          <t>Okinawa</t>
        </is>
      </c>
      <c r="C162" s="16" t="inlineStr">
        <is>
          <t>Okinawa</t>
        </is>
      </c>
      <c r="D162" s="16" t="inlineStr">
        <is>
          <t>Okinawa</t>
        </is>
      </c>
      <c r="E162" s="16" t="inlineStr">
        <is>
          <t>Naha</t>
        </is>
      </c>
      <c r="F162" s="16" t="inlineStr">
        <is>
          <t>Omoromachi</t>
        </is>
      </c>
      <c r="G162" s="16" t="inlineStr">
        <is>
          <t>Naha</t>
        </is>
      </c>
      <c r="H162" s="16" t="inlineStr">
        <is>
          <t>Okinawa Prefectural Museum &amp; Art Museum</t>
        </is>
      </c>
      <c r="I162" s="16" t="inlineStr">
        <is>
          <t>沖縄県立博物館・美術館</t>
        </is>
      </c>
      <c r="J162" s="16" t="inlineStr">
        <is>
          <t>Okinawa Prefectural Museum &amp; Art Museum</t>
        </is>
      </c>
      <c r="K162" s="16" t="inlineStr">
        <is>
          <t>🏛️ Museos</t>
        </is>
      </c>
      <c r="L162" s="16" t="inlineStr">
        <is>
          <t>museo</t>
        </is>
      </c>
      <c r="M162" s="16" t="inlineStr">
        <is>
          <t>A</t>
        </is>
      </c>
      <c r="N162" s="16" t="inlineStr">
        <is>
          <t>La mejor base intelectual para entender geología, guerra, Ryukyu y arte contemporáneo. Clasificación v2: excelente y muy recomendable, pero no justifica por sí sola adaptar la ruta.</t>
        </is>
      </c>
      <c r="O162" s="16" t="inlineStr">
        <is>
          <t>Museo y galería en un edificio inspirado en gusuku.</t>
        </is>
      </c>
      <c r="P162" s="16" t="inlineStr">
        <is>
          <t>Evita leer Okinawa solo como playa o base militar.</t>
        </is>
      </c>
      <c r="Q162" s="16" t="inlineStr">
        <is>
          <t>Museo y galería en un edificio inspirado en gusuku.</t>
        </is>
      </c>
      <c r="R162" s="16" t="inlineStr">
        <is>
          <t>3–5 h</t>
        </is>
      </c>
      <c r="S162" s="16" t="inlineStr">
        <is>
          <t>Tarde</t>
        </is>
      </c>
      <c r="T162" s="16" t="inlineStr">
        <is>
          <t>Todo el año</t>
        </is>
      </c>
      <c r="U162" s="16" t="inlineStr">
        <is>
          <t>Medio</t>
        </is>
      </c>
      <c r="V162" s="16" t="inlineStr">
        <is>
          <t>Medio</t>
        </is>
      </c>
      <c r="W162" s="89" t="n">
        <v>530</v>
      </c>
      <c r="X162" s="89" t="n">
        <v>2000</v>
      </c>
      <c r="Y162" s="89">
        <f>W162*'Configuración'!$B$4</f>
        <v/>
      </c>
      <c r="Z162" s="89">
        <f>X162*'Configuración'!$B$4</f>
        <v/>
      </c>
      <c r="AA162" s="16" t="inlineStr">
        <is>
          <t>No</t>
        </is>
      </c>
      <c r="AB162" s="16" t="inlineStr">
        <is>
          <t>—</t>
        </is>
      </c>
      <c r="AC162" s="16" t="inlineStr">
        <is>
          <t>09:00–18:00/20:00 según día</t>
        </is>
      </c>
      <c r="AD162" s="16" t="inlineStr">
        <is>
          <t>Lunes; verificar</t>
        </is>
      </c>
      <c r="AE162" s="16" t="inlineStr">
        <is>
          <t>Monorail Omoromachi</t>
        </is>
      </c>
      <c r="AF162" s="16" t="inlineStr">
        <is>
          <t>Buena en áreas principales; confirmar detalles con el recinto</t>
        </is>
      </c>
      <c r="AG162" s="90" t="n">
        <v>26.2268</v>
      </c>
      <c r="AH162" s="90" t="n">
        <v>127.6936</v>
      </c>
      <c r="AI162" s="16" t="inlineStr">
        <is>
          <t>https://okimu.jp/sp/en/</t>
        </is>
      </c>
      <c r="AJ162" s="16" t="inlineStr">
        <is>
          <t>Cambiante</t>
        </is>
      </c>
      <c r="AK162" s="16" t="inlineStr">
        <is>
          <t>MUST SEE / MUSEUM</t>
        </is>
      </c>
      <c r="AL162" s="16" t="inlineStr">
        <is>
          <t>historia, arte, cultura, lluvia</t>
        </is>
      </c>
      <c r="AM162" s="91" t="n">
        <v>4</v>
      </c>
      <c r="AN162" s="91" t="n">
        <v>5</v>
      </c>
      <c r="AO162" s="91" t="n">
        <v>5</v>
      </c>
      <c r="AP162" s="91" t="n">
        <v>2</v>
      </c>
      <c r="AQ162" s="16" t="inlineStr">
        <is>
          <t>Imagen ideal: evita leer okinawa solo como playa o base militar. con luz de tarde, sin multitudes dominando el encuadre.</t>
        </is>
      </c>
      <c r="AR162" s="16" t="inlineStr">
        <is>
          <t>Sakaemachi Arcade nightlife (~15 min a pie) | Whale watching in the Kerama waters (~21 min a pie) | First Makishi Public Market (~21 min a pie)</t>
        </is>
      </c>
      <c r="AS162" s="16" t="inlineStr">
        <is>
          <t>Lugar conocido pero excelente</t>
        </is>
      </c>
      <c r="AT162" s="16" t="str"/>
      <c r="AU162" s="16" t="inlineStr">
        <is>
          <t>https://www.google.com/maps/search/?api=1&amp;query=Okinawa%20Prefectural%20Museum%20%26%20Art%20Museum%2C%20Naha%2C%20Japan</t>
        </is>
      </c>
      <c r="AV162" s="16" t="inlineStr">
        <is>
          <t>2026-09-01</t>
        </is>
      </c>
      <c r="AW162" s="16" t="inlineStr">
        <is>
          <t>CALENDARIO / CONDICIÓN PENDIENTE</t>
        </is>
      </c>
      <c r="AX162" s="16" t="inlineStr">
        <is>
          <t>No hay cierre específico confirmado para la ventana, pero horarios o acceso pueden variar.</t>
        </is>
      </c>
      <c r="AY162" s="16" t="inlineStr">
        <is>
          <t>Reconfirmar en la web oficial al fijar fechas.</t>
        </is>
      </c>
    </row>
    <row r="163" ht="66" customHeight="1">
      <c r="A163" s="16" t="inlineStr">
        <is>
          <t>JP-162</t>
        </is>
      </c>
      <c r="B163" s="16" t="inlineStr">
        <is>
          <t>Okinawa</t>
        </is>
      </c>
      <c r="C163" s="16" t="inlineStr">
        <is>
          <t>Okinawa</t>
        </is>
      </c>
      <c r="D163" s="16" t="inlineStr">
        <is>
          <t>Okinawa</t>
        </is>
      </c>
      <c r="E163" s="16" t="inlineStr">
        <is>
          <t>Nanjo</t>
        </is>
      </c>
      <c r="F163" s="16" t="inlineStr">
        <is>
          <t>Chinen</t>
        </is>
      </c>
      <c r="G163" s="16" t="inlineStr">
        <is>
          <t>South Okinawa</t>
        </is>
      </c>
      <c r="H163" s="16" t="inlineStr">
        <is>
          <t>Sefa Utaki</t>
        </is>
      </c>
      <c r="I163" s="16" t="inlineStr">
        <is>
          <t>斎場御嶽</t>
        </is>
      </c>
      <c r="J163" s="16" t="inlineStr">
        <is>
          <t>Sefa Utaki</t>
        </is>
      </c>
      <c r="K163" s="16" t="inlineStr">
        <is>
          <t>⛩️ Templos y santuarios</t>
        </is>
      </c>
      <c r="L163" s="16" t="inlineStr">
        <is>
          <t>sitio sagrado natural</t>
        </is>
      </c>
      <c r="M163" s="16" t="inlineStr">
        <is>
          <t>S</t>
        </is>
      </c>
      <c r="N163" s="16" t="inlineStr">
        <is>
          <t>El lugar sagrado más importante del reino Ryukyu exige una visita respetuosa.</t>
        </is>
      </c>
      <c r="O163" s="16" t="inlineStr">
        <is>
          <t>Bosque y formaciones rocosas de culto femenino Ryukyu.</t>
        </is>
      </c>
      <c r="P163" s="16" t="inlineStr">
        <is>
          <t>No hay edificio protagonista: la naturaleza misma es santuario.</t>
        </is>
      </c>
      <c r="Q163" s="16" t="inlineStr">
        <is>
          <t>Bosque y formaciones rocosas de culto femenino Ryukyu.</t>
        </is>
      </c>
      <c r="R163" s="16" t="inlineStr">
        <is>
          <t>1–1.5 h</t>
        </is>
      </c>
      <c r="S163" s="16" t="inlineStr">
        <is>
          <t>Mañana</t>
        </is>
      </c>
      <c r="T163" s="16" t="inlineStr">
        <is>
          <t>Todo el año; evitar lluvia</t>
        </is>
      </c>
      <c r="U163" s="16" t="inlineStr">
        <is>
          <t>Alto</t>
        </is>
      </c>
      <c r="V163" s="16" t="inlineStr">
        <is>
          <t>Alto</t>
        </is>
      </c>
      <c r="W163" s="89" t="n">
        <v>300</v>
      </c>
      <c r="X163" s="89" t="n">
        <v>300</v>
      </c>
      <c r="Y163" s="89">
        <f>W163*'Configuración'!$B$4</f>
        <v/>
      </c>
      <c r="Z163" s="89">
        <f>X163*'Configuración'!$B$4</f>
        <v/>
      </c>
      <c r="AA163" s="16" t="inlineStr">
        <is>
          <t>No</t>
        </is>
      </c>
      <c r="AB163" s="16" t="inlineStr">
        <is>
          <t>—</t>
        </is>
      </c>
      <c r="AC163" s="16" t="inlineStr">
        <is>
          <t>09:00–17:30 aprox.</t>
        </is>
      </c>
      <c r="AD163" s="16" t="inlineStr">
        <is>
          <t>Seis días sagrados y restricciones parciales</t>
        </is>
      </c>
      <c r="AE163" s="16" t="inlineStr">
        <is>
          <t>Auto/bus limitado desde Naha</t>
        </is>
      </c>
      <c r="AF163" s="16" t="inlineStr">
        <is>
          <t>Buena en áreas principales; confirmar detalles con el recinto</t>
        </is>
      </c>
      <c r="AG163" s="90" t="n">
        <v>26.173</v>
      </c>
      <c r="AH163" s="90" t="n">
        <v>127.8263</v>
      </c>
      <c r="AI163" s="16" t="inlineStr">
        <is>
          <t>https://visitokinawajapan.com/discover/world-heritage-top/sefa-utaki/</t>
        </is>
      </c>
      <c r="AJ163" s="16" t="inlineStr">
        <is>
          <t>Cambiante</t>
        </is>
      </c>
      <c r="AK163" s="16" t="inlineStr">
        <is>
          <t>MUST SEE / SACRED</t>
        </is>
      </c>
      <c r="AL163" s="16" t="inlineStr">
        <is>
          <t>cultura, naturaleza, historia</t>
        </is>
      </c>
      <c r="AM163" s="91" t="n">
        <v>5</v>
      </c>
      <c r="AN163" s="91" t="n">
        <v>5</v>
      </c>
      <c r="AO163" s="91" t="n">
        <v>5</v>
      </c>
      <c r="AP163" s="91" t="n">
        <v>4</v>
      </c>
      <c r="AQ163" s="16" t="inlineStr">
        <is>
          <t>Imagen ideal: no hay edificio protagonista: la naturaleza misma es santuario. con luz de mañana, sin multitudes dominando el encuadre.</t>
        </is>
      </c>
      <c r="AR163" s="16" t="inlineStr">
        <is>
          <t>Cape Chinen Park (~9 min a pie)</t>
        </is>
      </c>
      <c r="AS163" s="16" t="inlineStr">
        <is>
          <t>Popular / turístico</t>
        </is>
      </c>
      <c r="AT163" s="16" t="str"/>
      <c r="AU163" s="16" t="inlineStr">
        <is>
          <t>https://www.google.com/maps/search/?api=1&amp;query=Sefa%20Utaki%2C%20Nanjo%2C%20Japan</t>
        </is>
      </c>
      <c r="AV163" s="16" t="inlineStr">
        <is>
          <t>2026-09-01</t>
        </is>
      </c>
      <c r="AW163" s="16" t="inlineStr">
        <is>
          <t>CIERRES SAGRADOS PENDIENTES</t>
        </is>
      </c>
      <c r="AX163" s="16" t="inlineStr">
        <is>
          <t>Seis días sagrados variables y restricciones parciales; fechas 2027 aún no publicadas.</t>
        </is>
      </c>
      <c r="AY163" s="16" t="inlineStr">
        <is>
          <t>Comprobar calendario lunar oficial antes de fijar visita.</t>
        </is>
      </c>
    </row>
    <row r="164" ht="66" customHeight="1">
      <c r="A164" s="16" t="inlineStr">
        <is>
          <t>JP-163</t>
        </is>
      </c>
      <c r="B164" s="16" t="inlineStr">
        <is>
          <t>Okinawa</t>
        </is>
      </c>
      <c r="C164" s="16" t="inlineStr">
        <is>
          <t>Okinawa</t>
        </is>
      </c>
      <c r="D164" s="16" t="inlineStr">
        <is>
          <t>Okinawa</t>
        </is>
      </c>
      <c r="E164" s="16" t="inlineStr">
        <is>
          <t>Nanjo</t>
        </is>
      </c>
      <c r="F164" s="16" t="inlineStr">
        <is>
          <t>Maekawa</t>
        </is>
      </c>
      <c r="G164" s="16" t="inlineStr">
        <is>
          <t>South Okinawa</t>
        </is>
      </c>
      <c r="H164" s="16" t="inlineStr">
        <is>
          <t>Valley of Gangala</t>
        </is>
      </c>
      <c r="I164" s="16" t="inlineStr">
        <is>
          <t>ガンガラーの谷</t>
        </is>
      </c>
      <c r="J164" s="16" t="inlineStr">
        <is>
          <t>Valley of Gangala</t>
        </is>
      </c>
      <c r="K164" s="16" t="inlineStr">
        <is>
          <t>🧩 Extraño/peculiar/único</t>
        </is>
      </c>
      <c r="L164" s="16" t="inlineStr">
        <is>
          <t>cueva/bosque guiado</t>
        </is>
      </c>
      <c r="M164" s="16" t="inlineStr">
        <is>
          <t>A</t>
        </is>
      </c>
      <c r="N164" s="16" t="inlineStr">
        <is>
          <t>Cueva colapsada, bosque y arqueología humana forman una experiencia muy distinta. Clasificación v2: excelente y muy recomendable, pero no justifica por sí sola adaptar la ruta.</t>
        </is>
      </c>
      <c r="O164" s="16" t="inlineStr">
        <is>
          <t>Tour guiado por valle kárstico con banyans y sitios prehistóricos.</t>
        </is>
      </c>
      <c r="P164" s="16" t="inlineStr">
        <is>
          <t>Combina geología, evolución humana y teatralidad natural.</t>
        </is>
      </c>
      <c r="Q164" s="16" t="inlineStr">
        <is>
          <t>Tour guiado por valle kárstico con banyans y sitios prehistóricos.</t>
        </is>
      </c>
      <c r="R164" s="16" t="inlineStr">
        <is>
          <t>1.5–2 h</t>
        </is>
      </c>
      <c r="S164" s="16" t="inlineStr">
        <is>
          <t>Mañana</t>
        </is>
      </c>
      <c r="T164" s="16" t="inlineStr">
        <is>
          <t>Todo el año</t>
        </is>
      </c>
      <c r="U164" s="16" t="inlineStr">
        <is>
          <t>Bajo</t>
        </is>
      </c>
      <c r="V164" s="16" t="inlineStr">
        <is>
          <t>Medio</t>
        </is>
      </c>
      <c r="W164" s="89" t="n">
        <v>2500</v>
      </c>
      <c r="X164" s="89" t="n">
        <v>2500</v>
      </c>
      <c r="Y164" s="89">
        <f>W164*'Configuración'!$B$4</f>
        <v/>
      </c>
      <c r="Z164" s="89">
        <f>X164*'Configuración'!$B$4</f>
        <v/>
      </c>
      <c r="AA164" s="16" t="inlineStr">
        <is>
          <t>Sí</t>
        </is>
      </c>
      <c r="AB164" s="16" t="inlineStr">
        <is>
          <t>Días/semanas</t>
        </is>
      </c>
      <c r="AC164" s="16" t="inlineStr">
        <is>
          <t>Tours fijos</t>
        </is>
      </c>
      <c r="AD164" s="16" t="inlineStr">
        <is>
          <t>Clima extremo</t>
        </is>
      </c>
      <c r="AE164" s="16" t="inlineStr">
        <is>
          <t>Auto/bus turístico; junto a Okinawa World</t>
        </is>
      </c>
      <c r="AF164" s="16" t="inlineStr">
        <is>
          <t>Parcial o baja; terreno irregular y condiciones naturales</t>
        </is>
      </c>
      <c r="AG164" s="90" t="n">
        <v>26.141</v>
      </c>
      <c r="AH164" s="90" t="n">
        <v>127.7475</v>
      </c>
      <c r="AI164" s="16" t="inlineStr">
        <is>
          <t>https://gangala.com/</t>
        </is>
      </c>
      <c r="AJ164" s="16" t="inlineStr">
        <is>
          <t>Cambiante</t>
        </is>
      </c>
      <c r="AK164" s="16" t="inlineStr">
        <is>
          <t>UNIQUE / RESERVE</t>
        </is>
      </c>
      <c r="AL164" s="16" t="inlineStr">
        <is>
          <t>naturaleza, aventura, historia</t>
        </is>
      </c>
      <c r="AM164" s="91" t="n">
        <v>5</v>
      </c>
      <c r="AN164" s="91" t="n">
        <v>5</v>
      </c>
      <c r="AO164" s="91" t="n">
        <v>4</v>
      </c>
      <c r="AP164" s="91" t="n">
        <v>2</v>
      </c>
      <c r="AQ164" s="16" t="inlineStr">
        <is>
          <t>Imagen ideal: combina geología, evolución humana y teatralidad natural. con luz de mañana, sin multitudes dominando el encuadre.</t>
        </is>
      </c>
      <c r="AR164" s="16" t="str"/>
      <c r="AS164" s="16" t="inlineStr">
        <is>
          <t>Lugar conocido pero excelente</t>
        </is>
      </c>
      <c r="AT164" s="16" t="str"/>
      <c r="AU164" s="16" t="inlineStr">
        <is>
          <t>https://www.google.com/maps/search/?api=1&amp;query=Valley%20of%20Gangala%2C%20Nanjo%2C%20Japan</t>
        </is>
      </c>
      <c r="AV164" s="16" t="inlineStr">
        <is>
          <t>2026-09-01</t>
        </is>
      </c>
      <c r="AW164" s="16" t="inlineStr">
        <is>
          <t>CALENDARIO / CONDICIÓN PENDIENTE</t>
        </is>
      </c>
      <c r="AX164" s="16" t="inlineStr">
        <is>
          <t>No hay cierre específico confirmado para la ventana, pero horarios o acceso pueden variar.</t>
        </is>
      </c>
      <c r="AY164" s="16" t="inlineStr">
        <is>
          <t>Reconfirmar en la web oficial al fijar fechas.</t>
        </is>
      </c>
    </row>
    <row r="165" ht="66" customHeight="1">
      <c r="A165" s="16" t="inlineStr">
        <is>
          <t>JP-164</t>
        </is>
      </c>
      <c r="B165" s="16" t="inlineStr">
        <is>
          <t>Okinawa</t>
        </is>
      </c>
      <c r="C165" s="16" t="inlineStr">
        <is>
          <t>Okinawa</t>
        </is>
      </c>
      <c r="D165" s="16" t="inlineStr">
        <is>
          <t>Okinawa</t>
        </is>
      </c>
      <c r="E165" s="16" t="inlineStr">
        <is>
          <t>Nanjo</t>
        </is>
      </c>
      <c r="F165" s="16" t="inlineStr">
        <is>
          <t>Tamagusuku</t>
        </is>
      </c>
      <c r="G165" s="16" t="inlineStr">
        <is>
          <t>South Okinawa</t>
        </is>
      </c>
      <c r="H165" s="16" t="inlineStr">
        <is>
          <t>Cape Chinen Park</t>
        </is>
      </c>
      <c r="I165" s="16" t="inlineStr">
        <is>
          <t>知念岬公園</t>
        </is>
      </c>
      <c r="J165" s="16" t="inlineStr">
        <is>
          <t>Cape Chinen Park</t>
        </is>
      </c>
      <c r="K165" s="16" t="inlineStr">
        <is>
          <t>🌅 Miradores</t>
        </is>
      </c>
      <c r="L165" s="16" t="inlineStr">
        <is>
          <t>mirador costero</t>
        </is>
      </c>
      <c r="M165" s="16" t="inlineStr">
        <is>
          <t>A</t>
        </is>
      </c>
      <c r="N165" s="16" t="inlineStr">
        <is>
          <t>Gran vista gratuita del Pacífico y Kudaka, muy eficiente junto a Sefa Utaki.</t>
        </is>
      </c>
      <c r="O165" s="16" t="inlineStr">
        <is>
          <t>Parque sobre acantilados y mar azul al sureste de la isla.</t>
        </is>
      </c>
      <c r="P165" s="16" t="inlineStr">
        <is>
          <t>Horizonte abierto con contexto espiritual de Kudaka Island.</t>
        </is>
      </c>
      <c r="Q165" s="16" t="inlineStr">
        <is>
          <t>Parque sobre acantilados y mar azul al sureste de la isla.</t>
        </is>
      </c>
      <c r="R165" s="16" t="inlineStr">
        <is>
          <t>30–60 min</t>
        </is>
      </c>
      <c r="S165" s="16" t="inlineStr">
        <is>
          <t>Mañana</t>
        </is>
      </c>
      <c r="T165" s="16" t="inlineStr">
        <is>
          <t>Días despejados</t>
        </is>
      </c>
      <c r="U165" s="16" t="inlineStr">
        <is>
          <t>Medio</t>
        </is>
      </c>
      <c r="V165" s="16" t="inlineStr">
        <is>
          <t>Medio</t>
        </is>
      </c>
      <c r="W165" s="89" t="n">
        <v>0</v>
      </c>
      <c r="X165" s="89" t="n">
        <v>0</v>
      </c>
      <c r="Y165" s="89">
        <f>W165*'Configuración'!$B$4</f>
        <v/>
      </c>
      <c r="Z165" s="89">
        <f>X165*'Configuración'!$B$4</f>
        <v/>
      </c>
      <c r="AA165" s="16" t="inlineStr">
        <is>
          <t>No</t>
        </is>
      </c>
      <c r="AB165" s="16" t="inlineStr">
        <is>
          <t>—</t>
        </is>
      </c>
      <c r="AC165" s="16" t="inlineStr">
        <is>
          <t>Espacio público 24 h</t>
        </is>
      </c>
      <c r="AD165" s="16" t="inlineStr">
        <is>
          <t>Clima</t>
        </is>
      </c>
      <c r="AE165" s="16" t="inlineStr">
        <is>
          <t>Auto; bus limitado</t>
        </is>
      </c>
      <c r="AF165" s="16" t="inlineStr">
        <is>
          <t>Buena en áreas principales; confirmar detalles con el recinto</t>
        </is>
      </c>
      <c r="AG165" s="90" t="n">
        <v>26.1671</v>
      </c>
      <c r="AH165" s="90" t="n">
        <v>127.8267</v>
      </c>
      <c r="AI165" s="16" t="inlineStr">
        <is>
          <t>https://visitokinawajapan.com/</t>
        </is>
      </c>
      <c r="AJ165" s="16" t="inlineStr">
        <is>
          <t>Cambiante</t>
        </is>
      </c>
      <c r="AK165" s="16" t="inlineStr">
        <is>
          <t>VIEW</t>
        </is>
      </c>
      <c r="AL165" s="16" t="inlineStr">
        <is>
          <t>pareja, fotografía, mar</t>
        </is>
      </c>
      <c r="AM165" s="91" t="n">
        <v>5</v>
      </c>
      <c r="AN165" s="91" t="n">
        <v>4</v>
      </c>
      <c r="AO165" s="91" t="n">
        <v>5</v>
      </c>
      <c r="AP165" s="91" t="n">
        <v>2</v>
      </c>
      <c r="AQ165" s="16" t="inlineStr">
        <is>
          <t>Imagen ideal: horizonte abierto con contexto espiritual de kudaka island. con luz de mañana, sin multitudes dominando el encuadre.</t>
        </is>
      </c>
      <c r="AR165" s="16" t="inlineStr">
        <is>
          <t>Sefa Utaki (~9 min a pie)</t>
        </is>
      </c>
      <c r="AS165" s="16" t="inlineStr">
        <is>
          <t>Lugar conocido pero excelente</t>
        </is>
      </c>
      <c r="AT165" s="16" t="str"/>
      <c r="AU165" s="16" t="inlineStr">
        <is>
          <t>https://www.google.com/maps/search/?api=1&amp;query=Cape%20Chinen%20Park%2C%20Nanjo%2C%20Japan</t>
        </is>
      </c>
      <c r="AV165" s="16" t="inlineStr">
        <is>
          <t>2026-09-01</t>
        </is>
      </c>
      <c r="AW165" s="16" t="inlineStr">
        <is>
          <t>CALENDARIO / CONDICIÓN PENDIENTE</t>
        </is>
      </c>
      <c r="AX165" s="16" t="inlineStr">
        <is>
          <t>No hay cierre específico confirmado para la ventana, pero horarios o acceso pueden variar.</t>
        </is>
      </c>
      <c r="AY165" s="16" t="inlineStr">
        <is>
          <t>Reconfirmar en la web oficial al fijar fechas.</t>
        </is>
      </c>
    </row>
    <row r="166" ht="66" customHeight="1">
      <c r="A166" s="16" t="inlineStr">
        <is>
          <t>JP-165</t>
        </is>
      </c>
      <c r="B166" s="16" t="inlineStr">
        <is>
          <t>Okinawa</t>
        </is>
      </c>
      <c r="C166" s="16" t="inlineStr">
        <is>
          <t>Okinawa</t>
        </is>
      </c>
      <c r="D166" s="16" t="inlineStr">
        <is>
          <t>Okinawa</t>
        </is>
      </c>
      <c r="E166" s="16" t="inlineStr">
        <is>
          <t>Nanjo</t>
        </is>
      </c>
      <c r="F166" s="16" t="inlineStr">
        <is>
          <t>Kudaka</t>
        </is>
      </c>
      <c r="G166" s="16" t="inlineStr">
        <is>
          <t>Kudaka Island</t>
        </is>
      </c>
      <c r="H166" s="16" t="inlineStr">
        <is>
          <t>Kudaka Island</t>
        </is>
      </c>
      <c r="I166" s="16" t="inlineStr">
        <is>
          <t>久高島</t>
        </is>
      </c>
      <c r="J166" s="16" t="inlineStr">
        <is>
          <t>Kudaka Island</t>
        </is>
      </c>
      <c r="K166" s="16" t="inlineStr">
        <is>
          <t>🌊 Playa/mar/islas</t>
        </is>
      </c>
      <c r="L166" s="16" t="inlineStr">
        <is>
          <t>isla sagrada</t>
        </is>
      </c>
      <c r="M166" s="16" t="inlineStr">
        <is>
          <t>A</t>
        </is>
      </c>
      <c r="N166" s="16" t="inlineStr">
        <is>
          <t>Isla de enorme significado espiritual y vida local; debe visitarse con respeto. Clasificación v2: excelente y muy recomendable, pero no justifica por sí sola adaptar la ruta.</t>
        </is>
      </c>
      <c r="O166" s="16" t="inlineStr">
        <is>
          <t>Pequeña isla al este de Okinawa con caminos rurales y sitios sagrados.</t>
        </is>
      </c>
      <c r="P166" s="16" t="inlineStr">
        <is>
          <t>No es una isla-resort: su valor está en cultura y silencio.</t>
        </is>
      </c>
      <c r="Q166" s="16" t="inlineStr">
        <is>
          <t>Pequeña isla al este de Okinawa con caminos rurales y sitios sagrados.</t>
        </is>
      </c>
      <c r="R166" s="16" t="inlineStr">
        <is>
          <t>Medio día–día completo</t>
        </is>
      </c>
      <c r="S166" s="16" t="inlineStr">
        <is>
          <t>Mañana</t>
        </is>
      </c>
      <c r="T166" s="16" t="inlineStr">
        <is>
          <t>Todo el año; mar estable</t>
        </is>
      </c>
      <c r="U166" s="16" t="inlineStr">
        <is>
          <t>Bajo</t>
        </is>
      </c>
      <c r="V166" s="16" t="inlineStr">
        <is>
          <t>Bajo</t>
        </is>
      </c>
      <c r="W166" s="89" t="n">
        <v>1600</v>
      </c>
      <c r="X166" s="89" t="n">
        <v>1600</v>
      </c>
      <c r="Y166" s="89">
        <f>W166*'Configuración'!$B$4</f>
        <v/>
      </c>
      <c r="Z166" s="89">
        <f>X166*'Configuración'!$B$4</f>
        <v/>
      </c>
      <c r="AA166" s="16" t="inlineStr">
        <is>
          <t>Recomendable</t>
        </is>
      </c>
      <c r="AB166" s="16" t="inlineStr">
        <is>
          <t>Días en temporada</t>
        </is>
      </c>
      <c r="AC166" s="16" t="inlineStr">
        <is>
          <t>Ferry variable</t>
        </is>
      </c>
      <c r="AD166" s="16" t="inlineStr">
        <is>
          <t>Mal tiempo</t>
        </is>
      </c>
      <c r="AE166" s="16" t="inlineStr">
        <is>
          <t>Ferry desde Azama Port</t>
        </is>
      </c>
      <c r="AF166" s="16" t="inlineStr">
        <is>
          <t>Parcial o baja; terreno irregular y condiciones naturales</t>
        </is>
      </c>
      <c r="AG166" s="90" t="n">
        <v>26.1587</v>
      </c>
      <c r="AH166" s="90" t="n">
        <v>127.8852</v>
      </c>
      <c r="AI166" s="16" t="inlineStr">
        <is>
          <t>https://visitokinawajapan.com/destinations/okinawa-main-island/southern-okinawa-main-island/</t>
        </is>
      </c>
      <c r="AJ166" s="16" t="inlineStr">
        <is>
          <t>Cambiante</t>
        </is>
      </c>
      <c r="AK166" s="16" t="inlineStr">
        <is>
          <t>HIDDEN GEM / SACRED</t>
        </is>
      </c>
      <c r="AL166" s="16" t="inlineStr">
        <is>
          <t>pareja, cultura, bicicleta, mar</t>
        </is>
      </c>
      <c r="AM166" s="91" t="n">
        <v>5</v>
      </c>
      <c r="AN166" s="91" t="n">
        <v>5</v>
      </c>
      <c r="AO166" s="91" t="n">
        <v>4</v>
      </c>
      <c r="AP166" s="91" t="n">
        <v>1</v>
      </c>
      <c r="AQ166" s="16" t="inlineStr">
        <is>
          <t>Imagen ideal: no es una isla-resort: su valor está en cultura y silencio. con luz de mañana, sin multitudes dominando el encuadre.</t>
        </is>
      </c>
      <c r="AR166" s="16" t="str"/>
      <c r="AS166" s="16" t="inlineStr">
        <is>
          <t>Hidden Gem real</t>
        </is>
      </c>
      <c r="AT166" s="16" t="str"/>
      <c r="AU166" s="16" t="inlineStr">
        <is>
          <t>https://www.google.com/maps/search/?api=1&amp;query=Kudaka%20Island%2C%20Nanjo%2C%20Japan</t>
        </is>
      </c>
      <c r="AV166" s="16" t="inlineStr">
        <is>
          <t>2026-09-01</t>
        </is>
      </c>
      <c r="AW166" s="16" t="inlineStr">
        <is>
          <t>VARIABLE POR MAR</t>
        </is>
      </c>
      <c r="AX166" s="16" t="inlineStr">
        <is>
          <t>Agua más fresca, viento y servicios de playa reducidos; ferries/tours pueden cancelarse.</t>
        </is>
      </c>
      <c r="AY166" s="16" t="inlineStr">
        <is>
          <t>Revisar oleaje, bandera y transporte 24–48 h antes; valorar neopreno.</t>
        </is>
      </c>
    </row>
    <row r="167" ht="66" customHeight="1">
      <c r="A167" s="16" t="inlineStr">
        <is>
          <t>JP-166</t>
        </is>
      </c>
      <c r="B167" s="16" t="inlineStr">
        <is>
          <t>Okinawa</t>
        </is>
      </c>
      <c r="C167" s="16" t="inlineStr">
        <is>
          <t>Okinawa</t>
        </is>
      </c>
      <c r="D167" s="16" t="inlineStr">
        <is>
          <t>Okinawa</t>
        </is>
      </c>
      <c r="E167" s="16" t="inlineStr">
        <is>
          <t>Chatan</t>
        </is>
      </c>
      <c r="F167" s="16" t="inlineStr">
        <is>
          <t>Mihama</t>
        </is>
      </c>
      <c r="G167" s="16" t="inlineStr">
        <is>
          <t>Central Okinawa</t>
        </is>
      </c>
      <c r="H167" s="16" t="inlineStr">
        <is>
          <t>Mihama American Village</t>
        </is>
      </c>
      <c r="I167" s="16" t="inlineStr">
        <is>
          <t>美浜アメリカンビレッジ</t>
        </is>
      </c>
      <c r="J167" s="16" t="inlineStr">
        <is>
          <t>Mihama American Village</t>
        </is>
      </c>
      <c r="K167" s="16" t="inlineStr">
        <is>
          <t>🏙️ Ciudad y barrios</t>
        </is>
      </c>
      <c r="L167" s="16" t="inlineStr">
        <is>
          <t>complejo comercial</t>
        </is>
      </c>
      <c r="M167" s="16" t="inlineStr">
        <is>
          <t>B</t>
        </is>
      </c>
      <c r="N167" s="16" t="inlineStr">
        <is>
          <t>Divertido al atardecer y de noche, pero artificial y prescindible frente a naturaleza/cultura Ryukyu.</t>
        </is>
      </c>
      <c r="O167" s="16" t="inlineStr">
        <is>
          <t>Distrito costero colorido de compras, restaurantes y luces.</t>
        </is>
      </c>
      <c r="P167" s="16" t="inlineStr">
        <is>
          <t>Visualiza la influencia estadounidense contemporánea de forma turística.</t>
        </is>
      </c>
      <c r="Q167" s="16" t="inlineStr">
        <is>
          <t>Distrito costero colorido de compras, restaurantes y luces.</t>
        </is>
      </c>
      <c r="R167" s="16" t="inlineStr">
        <is>
          <t>2–4 h</t>
        </is>
      </c>
      <c r="S167" s="16" t="inlineStr">
        <is>
          <t>Atardecer</t>
        </is>
      </c>
      <c r="T167" s="16" t="inlineStr">
        <is>
          <t>Todo el año</t>
        </is>
      </c>
      <c r="U167" s="16" t="inlineStr">
        <is>
          <t>Alto</t>
        </is>
      </c>
      <c r="V167" s="16" t="inlineStr">
        <is>
          <t>Alto</t>
        </is>
      </c>
      <c r="W167" s="89" t="n">
        <v>0</v>
      </c>
      <c r="X167" s="89" t="n">
        <v>0</v>
      </c>
      <c r="Y167" s="89">
        <f>W167*'Configuración'!$B$4</f>
        <v/>
      </c>
      <c r="Z167" s="89">
        <f>X167*'Configuración'!$B$4</f>
        <v/>
      </c>
      <c r="AA167" s="16" t="inlineStr">
        <is>
          <t>No</t>
        </is>
      </c>
      <c r="AB167" s="16" t="inlineStr">
        <is>
          <t>—</t>
        </is>
      </c>
      <c r="AC167" s="16" t="inlineStr">
        <is>
          <t>Negocios variables</t>
        </is>
      </c>
      <c r="AD167" s="16" t="inlineStr">
        <is>
          <t>Sin cierre general</t>
        </is>
      </c>
      <c r="AE167" s="16" t="inlineStr">
        <is>
          <t>Auto/buses desde Naha</t>
        </is>
      </c>
      <c r="AF167" s="16" t="inlineStr">
        <is>
          <t>Buena en áreas principales; confirmar detalles con el recinto</t>
        </is>
      </c>
      <c r="AG167" s="90" t="n">
        <v>26.3158</v>
      </c>
      <c r="AH167" s="90" t="n">
        <v>127.7575</v>
      </c>
      <c r="AI167" s="16" t="inlineStr">
        <is>
          <t>https://visitokinawajapan.com/</t>
        </is>
      </c>
      <c r="AJ167" s="16" t="inlineStr">
        <is>
          <t>Cambiante</t>
        </is>
      </c>
      <c r="AK167" s="16" t="inlineStr">
        <is>
          <t>NIGHT / OPTIONAL</t>
        </is>
      </c>
      <c r="AL167" s="16" t="inlineStr">
        <is>
          <t>pareja, comida, compras, noche</t>
        </is>
      </c>
      <c r="AM167" s="91" t="n">
        <v>5</v>
      </c>
      <c r="AN167" s="91" t="n">
        <v>3</v>
      </c>
      <c r="AO167" s="91" t="n">
        <v>3</v>
      </c>
      <c r="AP167" s="91" t="n">
        <v>4</v>
      </c>
      <c r="AQ167" s="16" t="inlineStr">
        <is>
          <t>Imagen ideal: visualiza la influencia estadounidense contemporánea de forma turística. con luz de atardecer, sin multitudes dominando el encuadre.</t>
        </is>
      </c>
      <c r="AR167" s="16" t="inlineStr">
        <is>
          <t>Koza music district (~73 min en transporte)</t>
        </is>
      </c>
      <c r="AS167" s="16" t="inlineStr">
        <is>
          <t>Popular / turístico</t>
        </is>
      </c>
      <c r="AT167" s="16" t="str"/>
      <c r="AU167" s="16" t="inlineStr">
        <is>
          <t>https://www.google.com/maps/search/?api=1&amp;query=Mihama%20American%20Village%2C%20Chatan%2C%20Japan</t>
        </is>
      </c>
      <c r="AV167" s="16" t="inlineStr">
        <is>
          <t>2026-09-01</t>
        </is>
      </c>
      <c r="AW167" s="16" t="inlineStr">
        <is>
          <t>CALENDARIO / CONDICIÓN PENDIENTE</t>
        </is>
      </c>
      <c r="AX167" s="16" t="inlineStr">
        <is>
          <t>No hay cierre específico confirmado para la ventana, pero horarios o acceso pueden variar.</t>
        </is>
      </c>
      <c r="AY167" s="16" t="inlineStr">
        <is>
          <t>Reconfirmar en la web oficial al fijar fechas.</t>
        </is>
      </c>
    </row>
    <row r="168" ht="66" customHeight="1">
      <c r="A168" s="16" t="inlineStr">
        <is>
          <t>JP-167</t>
        </is>
      </c>
      <c r="B168" s="16" t="inlineStr">
        <is>
          <t>Okinawa</t>
        </is>
      </c>
      <c r="C168" s="16" t="inlineStr">
        <is>
          <t>Okinawa</t>
        </is>
      </c>
      <c r="D168" s="16" t="inlineStr">
        <is>
          <t>Okinawa</t>
        </is>
      </c>
      <c r="E168" s="16" t="inlineStr">
        <is>
          <t>Okinawa City</t>
        </is>
      </c>
      <c r="F168" s="16" t="inlineStr">
        <is>
          <t>Koza</t>
        </is>
      </c>
      <c r="G168" s="16" t="inlineStr">
        <is>
          <t>Central Okinawa</t>
        </is>
      </c>
      <c r="H168" s="16" t="inlineStr">
        <is>
          <t>Koza music district</t>
        </is>
      </c>
      <c r="I168" s="16" t="inlineStr">
        <is>
          <t>コザ</t>
        </is>
      </c>
      <c r="J168" s="16" t="inlineStr">
        <is>
          <t>Koza music district</t>
        </is>
      </c>
      <c r="K168" s="16" t="inlineStr">
        <is>
          <t>🌃 Nocturno</t>
        </is>
      </c>
      <c r="L168" s="16" t="inlineStr">
        <is>
          <t>barrio musical</t>
        </is>
      </c>
      <c r="M168" s="16" t="inlineStr">
        <is>
          <t>A</t>
        </is>
      </c>
      <c r="N168" s="16" t="inlineStr">
        <is>
          <t>La mezcla de rock, bases militares y cultura Okinawense produce una noche singular.</t>
        </is>
      </c>
      <c r="O168" s="16" t="inlineStr">
        <is>
          <t>Salas de música, bares y calles de Koza Gate.</t>
        </is>
      </c>
      <c r="P168" s="16" t="inlineStr">
        <is>
          <t>No está pulido para resorts; muestra historia social reciente.</t>
        </is>
      </c>
      <c r="Q168" s="16" t="inlineStr">
        <is>
          <t>Salas de música, bares y calles de Koza Gate.</t>
        </is>
      </c>
      <c r="R168" s="16" t="inlineStr">
        <is>
          <t>2–4 h</t>
        </is>
      </c>
      <c r="S168" s="16" t="inlineStr">
        <is>
          <t>Noche</t>
        </is>
      </c>
      <c r="T168" s="16" t="inlineStr">
        <is>
          <t>Fines de semana/eventos</t>
        </is>
      </c>
      <c r="U168" s="16" t="inlineStr">
        <is>
          <t>Medio</t>
        </is>
      </c>
      <c r="V168" s="16" t="inlineStr">
        <is>
          <t>Bajo</t>
        </is>
      </c>
      <c r="W168" s="89" t="n">
        <v>1000</v>
      </c>
      <c r="X168" s="89" t="n">
        <v>6000</v>
      </c>
      <c r="Y168" s="89">
        <f>W168*'Configuración'!$B$4</f>
        <v/>
      </c>
      <c r="Z168" s="89">
        <f>X168*'Configuración'!$B$4</f>
        <v/>
      </c>
      <c r="AA168" s="16" t="inlineStr">
        <is>
          <t>Recomendable</t>
        </is>
      </c>
      <c r="AB168" s="16" t="inlineStr">
        <is>
          <t>Para concierto, días</t>
        </is>
      </c>
      <c r="AC168" s="16" t="inlineStr">
        <is>
          <t>Según local</t>
        </is>
      </c>
      <c r="AD168" s="16" t="inlineStr">
        <is>
          <t>Según local</t>
        </is>
      </c>
      <c r="AE168" s="16" t="inlineStr">
        <is>
          <t>Auto/bus; Koza Music Town</t>
        </is>
      </c>
      <c r="AF168" s="16" t="inlineStr">
        <is>
          <t>Buena en áreas principales; confirmar detalles con el recinto</t>
        </is>
      </c>
      <c r="AG168" s="90" t="n">
        <v>26.3344</v>
      </c>
      <c r="AH168" s="90" t="n">
        <v>127.8056</v>
      </c>
      <c r="AI168" s="16" t="inlineStr">
        <is>
          <t>https://visitokinawajapan.com/</t>
        </is>
      </c>
      <c r="AJ168" s="16" t="inlineStr">
        <is>
          <t>Cambiante</t>
        </is>
      </c>
      <c r="AK168" s="16" t="inlineStr">
        <is>
          <t>HIDDEN GEM / NIGHT</t>
        </is>
      </c>
      <c r="AL168" s="16" t="inlineStr">
        <is>
          <t>música, noche, cultura local</t>
        </is>
      </c>
      <c r="AM168" s="91" t="n">
        <v>4</v>
      </c>
      <c r="AN168" s="91" t="n">
        <v>5</v>
      </c>
      <c r="AO168" s="91" t="n">
        <v>4</v>
      </c>
      <c r="AP168" s="91" t="n">
        <v>2</v>
      </c>
      <c r="AQ168" s="16" t="inlineStr">
        <is>
          <t>Imagen ideal: no está pulido para resorts; muestra historia social reciente. con luz de noche, sin multitudes dominando el encuadre.</t>
        </is>
      </c>
      <c r="AR168" s="16" t="inlineStr">
        <is>
          <t>Mihama American Village (~73 min en transporte)</t>
        </is>
      </c>
      <c r="AS168" s="16" t="inlineStr">
        <is>
          <t>Hidden Gem real</t>
        </is>
      </c>
      <c r="AT168" s="16" t="str"/>
      <c r="AU168" s="16" t="inlineStr">
        <is>
          <t>https://www.google.com/maps/search/?api=1&amp;query=Koza%20music%20district%2C%20Okinawa%20City%2C%20Japan</t>
        </is>
      </c>
      <c r="AV168" s="16" t="inlineStr">
        <is>
          <t>2026-09-01</t>
        </is>
      </c>
      <c r="AW168" s="16" t="inlineStr">
        <is>
          <t>CALENDARIO / CONDICIÓN PENDIENTE</t>
        </is>
      </c>
      <c r="AX168" s="16" t="inlineStr">
        <is>
          <t>No hay cierre específico confirmado para la ventana, pero horarios o acceso pueden variar.</t>
        </is>
      </c>
      <c r="AY168" s="16" t="inlineStr">
        <is>
          <t>Reconfirmar en la web oficial al fijar fechas.</t>
        </is>
      </c>
    </row>
    <row r="169" ht="66" customHeight="1">
      <c r="A169" s="16" t="inlineStr">
        <is>
          <t>JP-168</t>
        </is>
      </c>
      <c r="B169" s="16" t="inlineStr">
        <is>
          <t>Okinawa</t>
        </is>
      </c>
      <c r="C169" s="16" t="inlineStr">
        <is>
          <t>Okinawa</t>
        </is>
      </c>
      <c r="D169" s="16" t="inlineStr">
        <is>
          <t>Okinawa</t>
        </is>
      </c>
      <c r="E169" s="16" t="inlineStr">
        <is>
          <t>Yomitan</t>
        </is>
      </c>
      <c r="F169" s="16" t="inlineStr">
        <is>
          <t>Zakimi</t>
        </is>
      </c>
      <c r="G169" s="16" t="inlineStr">
        <is>
          <t>Central Okinawa</t>
        </is>
      </c>
      <c r="H169" s="16" t="inlineStr">
        <is>
          <t>Yachimun no Sato</t>
        </is>
      </c>
      <c r="I169" s="16" t="inlineStr">
        <is>
          <t>やちむんの里</t>
        </is>
      </c>
      <c r="J169" s="16" t="inlineStr">
        <is>
          <t>Yachimun no Sato</t>
        </is>
      </c>
      <c r="K169" s="16" t="inlineStr">
        <is>
          <t>🎭 Cultura tradicional</t>
        </is>
      </c>
      <c r="L169" s="16" t="inlineStr">
        <is>
          <t>aldea artesanal</t>
        </is>
      </c>
      <c r="M169" s="16" t="inlineStr">
        <is>
          <t>A</t>
        </is>
      </c>
      <c r="N169" s="16" t="inlineStr">
        <is>
          <t>El mejor lugar para ver talleres activos y comprar cerámica directamente. Clasificación v2: excelente y muy recomendable, pero no justifica por sí sola adaptar la ruta.</t>
        </is>
      </c>
      <c r="O169" s="16" t="inlineStr">
        <is>
          <t>Conjunto de hornos y talleres de alfareros en Yomitan.</t>
        </is>
      </c>
      <c r="P169" s="16" t="inlineStr">
        <is>
          <t>La producción real y los hornos trepadores distinguen la visita de una tienda.</t>
        </is>
      </c>
      <c r="Q169" s="16" t="inlineStr">
        <is>
          <t>Conjunto de hornos y talleres de alfareros en Yomitan.</t>
        </is>
      </c>
      <c r="R169" s="16" t="inlineStr">
        <is>
          <t>2–3 h</t>
        </is>
      </c>
      <c r="S169" s="16" t="inlineStr">
        <is>
          <t>Mañana</t>
        </is>
      </c>
      <c r="T169" s="16" t="inlineStr">
        <is>
          <t>Días laborables/sábado</t>
        </is>
      </c>
      <c r="U169" s="16" t="inlineStr">
        <is>
          <t>Medio</t>
        </is>
      </c>
      <c r="V169" s="16" t="inlineStr">
        <is>
          <t>Bajo</t>
        </is>
      </c>
      <c r="W169" s="89" t="n">
        <v>0</v>
      </c>
      <c r="X169" s="89" t="n">
        <v>15000</v>
      </c>
      <c r="Y169" s="89">
        <f>W169*'Configuración'!$B$4</f>
        <v/>
      </c>
      <c r="Z169" s="89">
        <f>X169*'Configuración'!$B$4</f>
        <v/>
      </c>
      <c r="AA169" s="16" t="inlineStr">
        <is>
          <t>Recomendable</t>
        </is>
      </c>
      <c r="AB169" s="16" t="inlineStr">
        <is>
          <t>Para taller, días</t>
        </is>
      </c>
      <c r="AC169" s="16" t="inlineStr">
        <is>
          <t>Talleres variables</t>
        </is>
      </c>
      <c r="AD169" s="16" t="inlineStr">
        <is>
          <t>Según taller</t>
        </is>
      </c>
      <c r="AE169" s="16" t="inlineStr">
        <is>
          <t>Auto</t>
        </is>
      </c>
      <c r="AF169" s="16" t="inlineStr">
        <is>
          <t>Buena en áreas principales; confirmar detalles con el recinto</t>
        </is>
      </c>
      <c r="AG169" s="90" t="n">
        <v>26.3998</v>
      </c>
      <c r="AH169" s="90" t="n">
        <v>127.7487</v>
      </c>
      <c r="AI169" s="16" t="inlineStr">
        <is>
          <t>https://visitokinawajapan.com/</t>
        </is>
      </c>
      <c r="AJ169" s="16" t="inlineStr">
        <is>
          <t>Cambiante</t>
        </is>
      </c>
      <c r="AK169" s="16" t="inlineStr">
        <is>
          <t>CRAFT / HIDDEN</t>
        </is>
      </c>
      <c r="AL169" s="16" t="inlineStr">
        <is>
          <t>artesanía, compras, fotografía</t>
        </is>
      </c>
      <c r="AM169" s="91" t="n">
        <v>4</v>
      </c>
      <c r="AN169" s="91" t="n">
        <v>5</v>
      </c>
      <c r="AO169" s="91" t="n">
        <v>5</v>
      </c>
      <c r="AP169" s="91" t="n">
        <v>1</v>
      </c>
      <c r="AQ169" s="16" t="inlineStr">
        <is>
          <t>Imagen ideal: la producción real y los hornos trepadores distinguen la visita de una tienda. con luz de mañana, sin multitudes dominando el encuadre.</t>
        </is>
      </c>
      <c r="AR169" s="16" t="inlineStr">
        <is>
          <t>Zakimi Castle Ruins (~17 min a pie)</t>
        </is>
      </c>
      <c r="AS169" s="16" t="inlineStr">
        <is>
          <t>Hidden Gem real</t>
        </is>
      </c>
      <c r="AT169" s="16" t="str"/>
      <c r="AU169" s="16" t="inlineStr">
        <is>
          <t>https://www.google.com/maps/search/?api=1&amp;query=Yachimun%20no%20Sato%2C%20Yomitan%2C%20Japan</t>
        </is>
      </c>
      <c r="AV169" s="16" t="inlineStr">
        <is>
          <t>2026-09-01</t>
        </is>
      </c>
      <c r="AW169" s="16" t="inlineStr">
        <is>
          <t>CALENDARIO / CONDICIÓN PENDIENTE</t>
        </is>
      </c>
      <c r="AX169" s="16" t="inlineStr">
        <is>
          <t>No hay cierre específico confirmado para la ventana, pero horarios o acceso pueden variar.</t>
        </is>
      </c>
      <c r="AY169" s="16" t="inlineStr">
        <is>
          <t>Reconfirmar en la web oficial al fijar fechas.</t>
        </is>
      </c>
    </row>
    <row r="170" ht="66" customHeight="1">
      <c r="A170" s="16" t="inlineStr">
        <is>
          <t>JP-169</t>
        </is>
      </c>
      <c r="B170" s="16" t="inlineStr">
        <is>
          <t>Okinawa</t>
        </is>
      </c>
      <c r="C170" s="16" t="inlineStr">
        <is>
          <t>Okinawa</t>
        </is>
      </c>
      <c r="D170" s="16" t="inlineStr">
        <is>
          <t>Okinawa</t>
        </is>
      </c>
      <c r="E170" s="16" t="inlineStr">
        <is>
          <t>Yomitan</t>
        </is>
      </c>
      <c r="F170" s="16" t="inlineStr">
        <is>
          <t>Zakimi</t>
        </is>
      </c>
      <c r="G170" s="16" t="inlineStr">
        <is>
          <t>Central Okinawa</t>
        </is>
      </c>
      <c r="H170" s="16" t="inlineStr">
        <is>
          <t>Zakimi Castle Ruins</t>
        </is>
      </c>
      <c r="I170" s="16" t="inlineStr">
        <is>
          <t>座喜味城跡</t>
        </is>
      </c>
      <c r="J170" s="16" t="inlineStr">
        <is>
          <t>Zakimi Castle Ruins</t>
        </is>
      </c>
      <c r="K170" s="16" t="inlineStr">
        <is>
          <t>🏯 Historia y patrimonio</t>
        </is>
      </c>
      <c r="L170" s="16" t="inlineStr">
        <is>
          <t>ruinas de castillo</t>
        </is>
      </c>
      <c r="M170" s="16" t="inlineStr">
        <is>
          <t>A</t>
        </is>
      </c>
      <c r="N170" s="16" t="inlineStr">
        <is>
          <t>Murallas curvas, césped y vistas con poca saturación.</t>
        </is>
      </c>
      <c r="O170" s="16" t="inlineStr">
        <is>
          <t>Gusuku del siglo XV restaurado parcialmente.</t>
        </is>
      </c>
      <c r="P170" s="16" t="inlineStr">
        <is>
          <t>Permite caminar sobre murallas y entender ingeniería Ryukyu.</t>
        </is>
      </c>
      <c r="Q170" s="16" t="inlineStr">
        <is>
          <t>Gusuku del siglo XV restaurado parcialmente.</t>
        </is>
      </c>
      <c r="R170" s="16" t="inlineStr">
        <is>
          <t>1–1.5 h</t>
        </is>
      </c>
      <c r="S170" s="16" t="inlineStr">
        <is>
          <t>Atardecer</t>
        </is>
      </c>
      <c r="T170" s="16" t="inlineStr">
        <is>
          <t>Todo el año</t>
        </is>
      </c>
      <c r="U170" s="16" t="inlineStr">
        <is>
          <t>Bajo</t>
        </is>
      </c>
      <c r="V170" s="16" t="inlineStr">
        <is>
          <t>Bajo</t>
        </is>
      </c>
      <c r="W170" s="89" t="n">
        <v>0</v>
      </c>
      <c r="X170" s="89" t="n">
        <v>0</v>
      </c>
      <c r="Y170" s="89">
        <f>W170*'Configuración'!$B$4</f>
        <v/>
      </c>
      <c r="Z170" s="89">
        <f>X170*'Configuración'!$B$4</f>
        <v/>
      </c>
      <c r="AA170" s="16" t="inlineStr">
        <is>
          <t>No</t>
        </is>
      </c>
      <c r="AB170" s="16" t="inlineStr">
        <is>
          <t>—</t>
        </is>
      </c>
      <c r="AC170" s="16" t="inlineStr">
        <is>
          <t>Recinto exterior amplio</t>
        </is>
      </c>
      <c r="AD170" s="16" t="inlineStr">
        <is>
          <t>Clima</t>
        </is>
      </c>
      <c r="AE170" s="16" t="inlineStr">
        <is>
          <t>Auto</t>
        </is>
      </c>
      <c r="AF170" s="16" t="inlineStr">
        <is>
          <t>Parcial o baja; terreno irregular y condiciones naturales</t>
        </is>
      </c>
      <c r="AG170" s="90" t="n">
        <v>26.4088</v>
      </c>
      <c r="AH170" s="90" t="n">
        <v>127.7413</v>
      </c>
      <c r="AI170" s="16" t="inlineStr">
        <is>
          <t>https://visitokinawajapan.com/discover/world-heritage-top/zakimi-castle-ruins/</t>
        </is>
      </c>
      <c r="AJ170" s="16" t="inlineStr">
        <is>
          <t>Cambiante</t>
        </is>
      </c>
      <c r="AK170" s="16" t="inlineStr">
        <is>
          <t>HIDDEN GEM / HISTORY</t>
        </is>
      </c>
      <c r="AL170" s="16" t="inlineStr">
        <is>
          <t>historia, fotografía, arquitectura</t>
        </is>
      </c>
      <c r="AM170" s="91" t="n">
        <v>5</v>
      </c>
      <c r="AN170" s="91" t="n">
        <v>5</v>
      </c>
      <c r="AO170" s="91" t="n">
        <v>5</v>
      </c>
      <c r="AP170" s="91" t="n">
        <v>1</v>
      </c>
      <c r="AQ170" s="16" t="inlineStr">
        <is>
          <t>Imagen ideal: permite caminar sobre murallas y entender ingeniería ryukyu. con luz de atardecer, sin multitudes dominando el encuadre.</t>
        </is>
      </c>
      <c r="AR170" s="16" t="inlineStr">
        <is>
          <t>Yachimun no Sato (~17 min a pie)</t>
        </is>
      </c>
      <c r="AS170" s="16" t="inlineStr">
        <is>
          <t>Semi-hidden</t>
        </is>
      </c>
      <c r="AT170" s="16" t="str"/>
      <c r="AU170" s="16" t="inlineStr">
        <is>
          <t>https://www.google.com/maps/search/?api=1&amp;query=Zakimi%20Castle%20Ruins%2C%20Yomitan%2C%20Japan</t>
        </is>
      </c>
      <c r="AV170" s="16" t="inlineStr">
        <is>
          <t>2026-09-01</t>
        </is>
      </c>
      <c r="AW170" s="16" t="inlineStr">
        <is>
          <t>CALENDARIO / CONDICIÓN PENDIENTE</t>
        </is>
      </c>
      <c r="AX170" s="16" t="inlineStr">
        <is>
          <t>No hay cierre específico confirmado para la ventana, pero horarios o acceso pueden variar.</t>
        </is>
      </c>
      <c r="AY170" s="16" t="inlineStr">
        <is>
          <t>Reconfirmar en la web oficial al fijar fechas.</t>
        </is>
      </c>
    </row>
    <row r="171" ht="66" customHeight="1">
      <c r="A171" s="16" t="inlineStr">
        <is>
          <t>JP-170</t>
        </is>
      </c>
      <c r="B171" s="16" t="inlineStr">
        <is>
          <t>Okinawa</t>
        </is>
      </c>
      <c r="C171" s="16" t="inlineStr">
        <is>
          <t>Okinawa</t>
        </is>
      </c>
      <c r="D171" s="16" t="inlineStr">
        <is>
          <t>Okinawa</t>
        </is>
      </c>
      <c r="E171" s="16" t="inlineStr">
        <is>
          <t>Uruma</t>
        </is>
      </c>
      <c r="F171" s="16" t="inlineStr">
        <is>
          <t>Katsuren</t>
        </is>
      </c>
      <c r="G171" s="16" t="inlineStr">
        <is>
          <t>Central Okinawa</t>
        </is>
      </c>
      <c r="H171" s="16" t="inlineStr">
        <is>
          <t>Katsuren Castle Ruins</t>
        </is>
      </c>
      <c r="I171" s="16" t="inlineStr">
        <is>
          <t>勝連城跡</t>
        </is>
      </c>
      <c r="J171" s="16" t="inlineStr">
        <is>
          <t>Katsuren Castle Ruins</t>
        </is>
      </c>
      <c r="K171" s="16" t="inlineStr">
        <is>
          <t>🏯 Historia y patrimonio</t>
        </is>
      </c>
      <c r="L171" s="16" t="inlineStr">
        <is>
          <t>ruinas de castillo</t>
        </is>
      </c>
      <c r="M171" s="16" t="inlineStr">
        <is>
          <t>A</t>
        </is>
      </c>
      <c r="N171" s="16" t="inlineStr">
        <is>
          <t>La posición sobre dos mares y la forma escalonada hacen este gusuku excepcional. Clasificación v2: excelente y muy recomendable, pero no justifica por sí sola adaptar la ruta.</t>
        </is>
      </c>
      <c r="O171" s="16" t="inlineStr">
        <is>
          <t>Fortaleza Ryukyu elevada con vistas de penínsulas e islas.</t>
        </is>
      </c>
      <c r="P171" s="16" t="inlineStr">
        <is>
          <t>El paisaje defensivo se comprende de inmediato desde la cima.</t>
        </is>
      </c>
      <c r="Q171" s="16" t="inlineStr">
        <is>
          <t>Fortaleza Ryukyu elevada con vistas de penínsulas e islas.</t>
        </is>
      </c>
      <c r="R171" s="16" t="inlineStr">
        <is>
          <t>1.5–2 h</t>
        </is>
      </c>
      <c r="S171" s="16" t="inlineStr">
        <is>
          <t>Mañana</t>
        </is>
      </c>
      <c r="T171" s="16" t="inlineStr">
        <is>
          <t>Todo el año</t>
        </is>
      </c>
      <c r="U171" s="16" t="inlineStr">
        <is>
          <t>Medio</t>
        </is>
      </c>
      <c r="V171" s="16" t="inlineStr">
        <is>
          <t>Medio</t>
        </is>
      </c>
      <c r="W171" s="89" t="n">
        <v>600</v>
      </c>
      <c r="X171" s="89" t="n">
        <v>600</v>
      </c>
      <c r="Y171" s="89">
        <f>W171*'Configuración'!$B$4</f>
        <v/>
      </c>
      <c r="Z171" s="89">
        <f>X171*'Configuración'!$B$4</f>
        <v/>
      </c>
      <c r="AA171" s="16" t="inlineStr">
        <is>
          <t>No</t>
        </is>
      </c>
      <c r="AB171" s="16" t="inlineStr">
        <is>
          <t>—</t>
        </is>
      </c>
      <c r="AC171" s="16" t="inlineStr">
        <is>
          <t>09:00–18:00 aprox.</t>
        </is>
      </c>
      <c r="AD171" s="16" t="inlineStr">
        <is>
          <t>Sin cierre ordinario</t>
        </is>
      </c>
      <c r="AE171" s="16" t="inlineStr">
        <is>
          <t>Auto/bus desde Naha</t>
        </is>
      </c>
      <c r="AF171" s="16" t="inlineStr">
        <is>
          <t>Parcial o baja; terreno irregular y condiciones naturales</t>
        </is>
      </c>
      <c r="AG171" s="90" t="n">
        <v>26.3304</v>
      </c>
      <c r="AH171" s="90" t="n">
        <v>127.879</v>
      </c>
      <c r="AI171" s="16" t="inlineStr">
        <is>
          <t>https://visitokinawajapan.com/discover/world-heritage-top/katsuren-castle-ruins/</t>
        </is>
      </c>
      <c r="AJ171" s="16" t="inlineStr">
        <is>
          <t>Cambiante</t>
        </is>
      </c>
      <c r="AK171" s="16" t="inlineStr">
        <is>
          <t>MUST SEE / HISTORY</t>
        </is>
      </c>
      <c r="AL171" s="16" t="inlineStr">
        <is>
          <t>historia, fotografía, paisaje</t>
        </is>
      </c>
      <c r="AM171" s="91" t="n">
        <v>5</v>
      </c>
      <c r="AN171" s="91" t="n">
        <v>5</v>
      </c>
      <c r="AO171" s="91" t="n">
        <v>5</v>
      </c>
      <c r="AP171" s="91" t="n">
        <v>2</v>
      </c>
      <c r="AQ171" s="16" t="inlineStr">
        <is>
          <t>Imagen ideal: el paisaje defensivo se comprende de inmediato desde la cima. con luz de mañana, sin multitudes dominando el encuadre.</t>
        </is>
      </c>
      <c r="AR171" s="16" t="str"/>
      <c r="AS171" s="16" t="inlineStr">
        <is>
          <t>Lugar conocido pero excelente</t>
        </is>
      </c>
      <c r="AT171" s="16" t="str"/>
      <c r="AU171" s="16" t="inlineStr">
        <is>
          <t>https://www.google.com/maps/search/?api=1&amp;query=Katsuren%20Castle%20Ruins%2C%20Uruma%2C%20Japan</t>
        </is>
      </c>
      <c r="AV171" s="16" t="inlineStr">
        <is>
          <t>2026-09-01</t>
        </is>
      </c>
      <c r="AW171" s="16" t="inlineStr">
        <is>
          <t>CALENDARIO / CONDICIÓN PENDIENTE</t>
        </is>
      </c>
      <c r="AX171" s="16" t="inlineStr">
        <is>
          <t>No hay cierre específico confirmado para la ventana, pero horarios o acceso pueden variar.</t>
        </is>
      </c>
      <c r="AY171" s="16" t="inlineStr">
        <is>
          <t>Reconfirmar en la web oficial al fijar fechas.</t>
        </is>
      </c>
    </row>
    <row r="172" ht="66" customHeight="1">
      <c r="A172" s="16" t="inlineStr">
        <is>
          <t>JP-171</t>
        </is>
      </c>
      <c r="B172" s="16" t="inlineStr">
        <is>
          <t>Okinawa</t>
        </is>
      </c>
      <c r="C172" s="16" t="inlineStr">
        <is>
          <t>Okinawa</t>
        </is>
      </c>
      <c r="D172" s="16" t="inlineStr">
        <is>
          <t>Okinawa</t>
        </is>
      </c>
      <c r="E172" s="16" t="inlineStr">
        <is>
          <t>Onna</t>
        </is>
      </c>
      <c r="F172" s="16" t="inlineStr">
        <is>
          <t>Maeda</t>
        </is>
      </c>
      <c r="G172" s="16" t="inlineStr">
        <is>
          <t>Onna Coast</t>
        </is>
      </c>
      <c r="H172" s="16" t="inlineStr">
        <is>
          <t>Blue Cave at Cape Maeda</t>
        </is>
      </c>
      <c r="I172" s="16" t="inlineStr">
        <is>
          <t>青の洞窟</t>
        </is>
      </c>
      <c r="J172" s="16" t="inlineStr">
        <is>
          <t>Blue Cave at Cape Maeda</t>
        </is>
      </c>
      <c r="K172" s="16" t="inlineStr">
        <is>
          <t>🌊 Playa/mar/islas</t>
        </is>
      </c>
      <c r="L172" s="16" t="inlineStr">
        <is>
          <t>snorkel/buceo</t>
        </is>
      </c>
      <c r="M172" s="16" t="inlineStr">
        <is>
          <t>B</t>
        </is>
      </c>
      <c r="N172" s="16" t="inlineStr">
        <is>
          <t>El color bajo el agua es hermoso, pero la experiencia depende de mar, operador y saturación. Clasificación v2: recomendable si encaja; su valor depende más de interés, saturación o logística.</t>
        </is>
      </c>
      <c r="O172" s="16" t="inlineStr">
        <is>
          <t>Cueva marina accesible en tour de snorkel o buceo.</t>
        </is>
      </c>
      <c r="P172" s="16" t="inlineStr">
        <is>
          <t>La luz produce un azul intenso en un espacio corto y cerrado.</t>
        </is>
      </c>
      <c r="Q172" s="16" t="inlineStr">
        <is>
          <t>Cueva marina accesible en tour de snorkel o buceo.</t>
        </is>
      </c>
      <c r="R172" s="16" t="inlineStr">
        <is>
          <t>2–3 h</t>
        </is>
      </c>
      <c r="S172" s="16" t="inlineStr">
        <is>
          <t>Mañana</t>
        </is>
      </c>
      <c r="T172" s="16" t="inlineStr">
        <is>
          <t>Mar calmado; primavera–otoño</t>
        </is>
      </c>
      <c r="U172" s="16" t="inlineStr">
        <is>
          <t>Extremo</t>
        </is>
      </c>
      <c r="V172" s="16" t="inlineStr">
        <is>
          <t>Extremo</t>
        </is>
      </c>
      <c r="W172" s="89" t="n">
        <v>4000</v>
      </c>
      <c r="X172" s="89" t="n">
        <v>12000</v>
      </c>
      <c r="Y172" s="89">
        <f>W172*'Configuración'!$B$4</f>
        <v/>
      </c>
      <c r="Z172" s="89">
        <f>X172*'Configuración'!$B$4</f>
        <v/>
      </c>
      <c r="AA172" s="16" t="inlineStr">
        <is>
          <t>Sí</t>
        </is>
      </c>
      <c r="AB172" s="16" t="inlineStr">
        <is>
          <t>Días/semanas</t>
        </is>
      </c>
      <c r="AC172" s="16" t="inlineStr">
        <is>
          <t>Según operador y bandera del mar</t>
        </is>
      </c>
      <c r="AD172" s="16" t="inlineStr">
        <is>
          <t>Oleaje/alertas</t>
        </is>
      </c>
      <c r="AE172" s="16" t="inlineStr">
        <is>
          <t>Auto; tour desde Onna</t>
        </is>
      </c>
      <c r="AF172" s="16" t="inlineStr">
        <is>
          <t>Buena en áreas principales; confirmar detalles con el recinto</t>
        </is>
      </c>
      <c r="AG172" s="90" t="n">
        <v>26.4441</v>
      </c>
      <c r="AH172" s="90" t="n">
        <v>127.7715</v>
      </c>
      <c r="AI172" s="16" t="inlineStr">
        <is>
          <t>https://visitokinawajapan.com/</t>
        </is>
      </c>
      <c r="AJ172" s="16" t="inlineStr">
        <is>
          <t>Cambiante</t>
        </is>
      </c>
      <c r="AK172" s="16" t="inlineStr">
        <is>
          <t>SEA / ADVENTURE</t>
        </is>
      </c>
      <c r="AL172" s="16" t="inlineStr">
        <is>
          <t>pareja, mar, aventura</t>
        </is>
      </c>
      <c r="AM172" s="91" t="n">
        <v>5</v>
      </c>
      <c r="AN172" s="91" t="n">
        <v>4</v>
      </c>
      <c r="AO172" s="91" t="n">
        <v>3</v>
      </c>
      <c r="AP172" s="91" t="n">
        <v>5</v>
      </c>
      <c r="AQ172" s="16" t="inlineStr">
        <is>
          <t>Imagen ideal: la luz produce un azul intenso en un espacio corto y cerrado. con luz de mañana, sin multitudes dominando el encuadre.</t>
        </is>
      </c>
      <c r="AR172" s="16" t="str"/>
      <c r="AS172" s="16" t="inlineStr">
        <is>
          <t>Popular / turístico</t>
        </is>
      </c>
      <c r="AT172" s="16" t="str"/>
      <c r="AU172" s="16" t="inlineStr">
        <is>
          <t>https://www.google.com/maps/search/?api=1&amp;query=Blue%20Cave%20at%20Cape%20Maeda%2C%20Onna%2C%20Japan</t>
        </is>
      </c>
      <c r="AV172" s="16" t="inlineStr">
        <is>
          <t>2026-09-01</t>
        </is>
      </c>
      <c r="AW172" s="16" t="inlineStr">
        <is>
          <t>VARIABLE POR MAR</t>
        </is>
      </c>
      <c r="AX172" s="16" t="inlineStr">
        <is>
          <t>Agua más fresca, viento y servicios de playa reducidos; ferries/tours pueden cancelarse.</t>
        </is>
      </c>
      <c r="AY172" s="16" t="inlineStr">
        <is>
          <t>Revisar oleaje, bandera y transporte 24–48 h antes; valorar neopreno.</t>
        </is>
      </c>
    </row>
    <row r="173" ht="66" customHeight="1">
      <c r="A173" s="16" t="inlineStr">
        <is>
          <t>JP-172</t>
        </is>
      </c>
      <c r="B173" s="16" t="inlineStr">
        <is>
          <t>Okinawa</t>
        </is>
      </c>
      <c r="C173" s="16" t="inlineStr">
        <is>
          <t>Okinawa</t>
        </is>
      </c>
      <c r="D173" s="16" t="inlineStr">
        <is>
          <t>Okinawa</t>
        </is>
      </c>
      <c r="E173" s="16" t="inlineStr">
        <is>
          <t>Onna</t>
        </is>
      </c>
      <c r="F173" s="16" t="inlineStr">
        <is>
          <t>Onna</t>
        </is>
      </c>
      <c r="G173" s="16" t="inlineStr">
        <is>
          <t>Onna Coast</t>
        </is>
      </c>
      <c r="H173" s="16" t="inlineStr">
        <is>
          <t>Cape Manzamo</t>
        </is>
      </c>
      <c r="I173" s="16" t="inlineStr">
        <is>
          <t>万座毛</t>
        </is>
      </c>
      <c r="J173" s="16" t="inlineStr">
        <is>
          <t>Cape Manzamo</t>
        </is>
      </c>
      <c r="K173" s="16" t="inlineStr">
        <is>
          <t>🌅 Miradores</t>
        </is>
      </c>
      <c r="L173" s="16" t="inlineStr">
        <is>
          <t>acantilado/mirador</t>
        </is>
      </c>
      <c r="M173" s="16" t="inlineStr">
        <is>
          <t>B</t>
        </is>
      </c>
      <c r="N173" s="16" t="inlineStr">
        <is>
          <t>Vista bella y accesible, aunque el circuito es breve y muy turístico.</t>
        </is>
      </c>
      <c r="O173" s="16" t="inlineStr">
        <is>
          <t>Acantilado coralino con formación de 'trompa de elefante'.</t>
        </is>
      </c>
      <c r="P173" s="16" t="inlineStr">
        <is>
          <t>Buena puesta de sol y costa, pero no una excursión independiente.</t>
        </is>
      </c>
      <c r="Q173" s="16" t="inlineStr">
        <is>
          <t>Acantilado coralino con formación de 'trompa de elefante'.</t>
        </is>
      </c>
      <c r="R173" s="16" t="inlineStr">
        <is>
          <t>30–60 min</t>
        </is>
      </c>
      <c r="S173" s="16" t="inlineStr">
        <is>
          <t>Atardecer</t>
        </is>
      </c>
      <c r="T173" s="16" t="inlineStr">
        <is>
          <t>Días despejados</t>
        </is>
      </c>
      <c r="U173" s="16" t="inlineStr">
        <is>
          <t>Alto</t>
        </is>
      </c>
      <c r="V173" s="16" t="inlineStr">
        <is>
          <t>Alto</t>
        </is>
      </c>
      <c r="W173" s="89" t="n">
        <v>100</v>
      </c>
      <c r="X173" s="89" t="n">
        <v>100</v>
      </c>
      <c r="Y173" s="89">
        <f>W173*'Configuración'!$B$4</f>
        <v/>
      </c>
      <c r="Z173" s="89">
        <f>X173*'Configuración'!$B$4</f>
        <v/>
      </c>
      <c r="AA173" s="16" t="inlineStr">
        <is>
          <t>No</t>
        </is>
      </c>
      <c r="AB173" s="16" t="inlineStr">
        <is>
          <t>—</t>
        </is>
      </c>
      <c r="AC173" s="16" t="inlineStr">
        <is>
          <t>Aprox. 08:00–19:00</t>
        </is>
      </c>
      <c r="AD173" s="16" t="inlineStr">
        <is>
          <t>Clima</t>
        </is>
      </c>
      <c r="AE173" s="16" t="inlineStr">
        <is>
          <t>Auto/bus</t>
        </is>
      </c>
      <c r="AF173" s="16" t="inlineStr">
        <is>
          <t>Buena en áreas principales; confirmar detalles con el recinto</t>
        </is>
      </c>
      <c r="AG173" s="90" t="n">
        <v>26.5049</v>
      </c>
      <c r="AH173" s="90" t="n">
        <v>127.8503</v>
      </c>
      <c r="AI173" s="16" t="inlineStr">
        <is>
          <t>https://visitokinawajapan.com/</t>
        </is>
      </c>
      <c r="AJ173" s="16" t="inlineStr">
        <is>
          <t>Cambiante</t>
        </is>
      </c>
      <c r="AK173" s="16" t="inlineStr">
        <is>
          <t>VIEW / OPTIONAL</t>
        </is>
      </c>
      <c r="AL173" s="16" t="inlineStr">
        <is>
          <t>pareja, fotografía, mar</t>
        </is>
      </c>
      <c r="AM173" s="91" t="n">
        <v>5</v>
      </c>
      <c r="AN173" s="91" t="n">
        <v>3</v>
      </c>
      <c r="AO173" s="91" t="n">
        <v>4</v>
      </c>
      <c r="AP173" s="91" t="n">
        <v>4</v>
      </c>
      <c r="AQ173" s="16" t="inlineStr">
        <is>
          <t>Imagen ideal: buena puesta de sol y costa, pero no una excursión independiente. con luz de atardecer, sin multitudes dominando el encuadre.</t>
        </is>
      </c>
      <c r="AR173" s="16" t="str"/>
      <c r="AS173" s="16" t="inlineStr">
        <is>
          <t>Popular / turístico</t>
        </is>
      </c>
      <c r="AT173" s="16" t="str"/>
      <c r="AU173" s="16" t="inlineStr">
        <is>
          <t>https://www.google.com/maps/search/?api=1&amp;query=Cape%20Manzamo%2C%20Onna%2C%20Japan</t>
        </is>
      </c>
      <c r="AV173" s="16" t="inlineStr">
        <is>
          <t>2026-09-01</t>
        </is>
      </c>
      <c r="AW173" s="16" t="inlineStr">
        <is>
          <t>CALENDARIO / CONDICIÓN PENDIENTE</t>
        </is>
      </c>
      <c r="AX173" s="16" t="inlineStr">
        <is>
          <t>No hay cierre específico confirmado para la ventana, pero horarios o acceso pueden variar.</t>
        </is>
      </c>
      <c r="AY173" s="16" t="inlineStr">
        <is>
          <t>Reconfirmar en la web oficial al fijar fechas.</t>
        </is>
      </c>
    </row>
    <row r="174" ht="66" customHeight="1">
      <c r="A174" s="16" t="inlineStr">
        <is>
          <t>JP-173</t>
        </is>
      </c>
      <c r="B174" s="16" t="inlineStr">
        <is>
          <t>Okinawa</t>
        </is>
      </c>
      <c r="C174" s="16" t="inlineStr">
        <is>
          <t>Okinawa</t>
        </is>
      </c>
      <c r="D174" s="16" t="inlineStr">
        <is>
          <t>Okinawa</t>
        </is>
      </c>
      <c r="E174" s="16" t="inlineStr">
        <is>
          <t>Motobu</t>
        </is>
      </c>
      <c r="F174" s="16" t="inlineStr">
        <is>
          <t>Ishikawa</t>
        </is>
      </c>
      <c r="G174" s="16" t="inlineStr">
        <is>
          <t>Motobu</t>
        </is>
      </c>
      <c r="H174" s="16" t="inlineStr">
        <is>
          <t>Okinawa Churaumi Aquarium</t>
        </is>
      </c>
      <c r="I174" s="16" t="inlineStr">
        <is>
          <t>沖縄美ら海水族館</t>
        </is>
      </c>
      <c r="J174" s="16" t="inlineStr">
        <is>
          <t>Okinawa Churaumi Aquarium</t>
        </is>
      </c>
      <c r="K174" s="16" t="inlineStr">
        <is>
          <t>🏛️ Museos</t>
        </is>
      </c>
      <c r="L174" s="16" t="inlineStr">
        <is>
          <t>acuario</t>
        </is>
      </c>
      <c r="M174" s="16" t="inlineStr">
        <is>
          <t>S</t>
        </is>
      </c>
      <c r="N174" s="16" t="inlineStr">
        <is>
          <t>El tanque Kuroshio y su fauna pelágica justifican el largo traslado.</t>
        </is>
      </c>
      <c r="O174" s="16" t="inlineStr">
        <is>
          <t>Acuario emblemático con tiburones ballena, mantas y ecosistemas de Okinawa.</t>
        </is>
      </c>
      <c r="P174" s="16" t="inlineStr">
        <is>
          <t>La escala y especialización coralina superan acuarios urbanos.</t>
        </is>
      </c>
      <c r="Q174" s="16" t="inlineStr">
        <is>
          <t>Acuario emblemático con tiburones ballena, mantas y ecosistemas de Okinawa.</t>
        </is>
      </c>
      <c r="R174" s="16" t="inlineStr">
        <is>
          <t>3–5 h</t>
        </is>
      </c>
      <c r="S174" s="16" t="inlineStr">
        <is>
          <t>Mañana</t>
        </is>
      </c>
      <c r="T174" s="16" t="inlineStr">
        <is>
          <t>Todo el año</t>
        </is>
      </c>
      <c r="U174" s="16" t="inlineStr">
        <is>
          <t>Extremo</t>
        </is>
      </c>
      <c r="V174" s="16" t="inlineStr">
        <is>
          <t>Extremo</t>
        </is>
      </c>
      <c r="W174" s="89" t="n">
        <v>2180</v>
      </c>
      <c r="X174" s="89" t="n">
        <v>2180</v>
      </c>
      <c r="Y174" s="89">
        <f>W174*'Configuración'!$B$4</f>
        <v/>
      </c>
      <c r="Z174" s="89">
        <f>X174*'Configuración'!$B$4</f>
        <v/>
      </c>
      <c r="AA174" s="16" t="inlineStr">
        <is>
          <t>Sí</t>
        </is>
      </c>
      <c r="AB174" s="16" t="inlineStr">
        <is>
          <t>Días/semanas en temporada</t>
        </is>
      </c>
      <c r="AC174" s="16" t="inlineStr">
        <is>
          <t>08:30–18:30 aprox.; verificar</t>
        </is>
      </c>
      <c r="AD174" s="16" t="inlineStr">
        <is>
          <t>Primer miércoles/jueves de diciembre aprox.; verificar</t>
        </is>
      </c>
      <c r="AE174" s="16" t="inlineStr">
        <is>
          <t>Auto/bus express desde Naha</t>
        </is>
      </c>
      <c r="AF174" s="16" t="inlineStr">
        <is>
          <t>Buena en áreas principales; confirmar detalles con el recinto</t>
        </is>
      </c>
      <c r="AG174" s="90" t="n">
        <v>26.6945</v>
      </c>
      <c r="AH174" s="90" t="n">
        <v>127.8779</v>
      </c>
      <c r="AI174" s="16" t="inlineStr">
        <is>
          <t>https://churaumi.okinawa/en/</t>
        </is>
      </c>
      <c r="AJ174" s="16" t="inlineStr">
        <is>
          <t>Cambiante</t>
        </is>
      </c>
      <c r="AK174" s="16" t="inlineStr">
        <is>
          <t>MUST SEE</t>
        </is>
      </c>
      <c r="AL174" s="16" t="inlineStr">
        <is>
          <t>pareja, fauna, mar, lluvia</t>
        </is>
      </c>
      <c r="AM174" s="91" t="n">
        <v>5</v>
      </c>
      <c r="AN174" s="91" t="n">
        <v>5</v>
      </c>
      <c r="AO174" s="91" t="n">
        <v>4</v>
      </c>
      <c r="AP174" s="91" t="n">
        <v>5</v>
      </c>
      <c r="AQ174" s="16" t="inlineStr">
        <is>
          <t>Imagen ideal: la escala y especialización coralina superan acuarios urbanos. con luz de mañana, sin multitudes dominando el encuadre.</t>
        </is>
      </c>
      <c r="AR174" s="16" t="inlineStr">
        <is>
          <t>Bise Fukugi Tree Road (~20 min a pie) | Nakijin Castle Ruins (~72 min en transporte)</t>
        </is>
      </c>
      <c r="AS174" s="16" t="inlineStr">
        <is>
          <t>Popular / turístico</t>
        </is>
      </c>
      <c r="AT174" s="16" t="str"/>
      <c r="AU174" s="16" t="inlineStr">
        <is>
          <t>https://www.google.com/maps/search/?api=1&amp;query=Okinawa%20Churaumi%20Aquarium%2C%20Motobu%2C%20Japan</t>
        </is>
      </c>
      <c r="AV174" s="16" t="inlineStr">
        <is>
          <t>2026-09-01</t>
        </is>
      </c>
      <c r="AW174" s="16" t="inlineStr">
        <is>
          <t>CALENDARIO / CONDICIÓN PENDIENTE</t>
        </is>
      </c>
      <c r="AX174" s="16" t="inlineStr">
        <is>
          <t>No hay cierre específico confirmado para la ventana, pero horarios o acceso pueden variar.</t>
        </is>
      </c>
      <c r="AY174" s="16" t="inlineStr">
        <is>
          <t>Reconfirmar en la web oficial al fijar fechas.</t>
        </is>
      </c>
    </row>
    <row r="175" ht="66" customHeight="1">
      <c r="A175" s="16" t="inlineStr">
        <is>
          <t>JP-174</t>
        </is>
      </c>
      <c r="B175" s="16" t="inlineStr">
        <is>
          <t>Okinawa</t>
        </is>
      </c>
      <c r="C175" s="16" t="inlineStr">
        <is>
          <t>Okinawa</t>
        </is>
      </c>
      <c r="D175" s="16" t="inlineStr">
        <is>
          <t>Okinawa</t>
        </is>
      </c>
      <c r="E175" s="16" t="inlineStr">
        <is>
          <t>Motobu</t>
        </is>
      </c>
      <c r="F175" s="16" t="inlineStr">
        <is>
          <t>Bise</t>
        </is>
      </c>
      <c r="G175" s="16" t="inlineStr">
        <is>
          <t>Motobu</t>
        </is>
      </c>
      <c r="H175" s="16" t="inlineStr">
        <is>
          <t>Bise Fukugi Tree Road</t>
        </is>
      </c>
      <c r="I175" s="16" t="inlineStr">
        <is>
          <t>備瀬のフクギ並木</t>
        </is>
      </c>
      <c r="J175" s="16" t="inlineStr">
        <is>
          <t>Bise Fukugi Tree Road</t>
        </is>
      </c>
      <c r="K175" s="16" t="inlineStr">
        <is>
          <t>🌿 Naturaleza</t>
        </is>
      </c>
      <c r="L175" s="16" t="inlineStr">
        <is>
          <t>aldea/paseo</t>
        </is>
      </c>
      <c r="M175" s="16" t="inlineStr">
        <is>
          <t>A</t>
        </is>
      </c>
      <c r="N175" s="16" t="inlineStr">
        <is>
          <t>Paisaje habitado de setos fukugi, arena y costa con gran valor visual. Clasificación v2: excelente y muy recomendable, pero no justifica por sí sola adaptar la ruta.</t>
        </is>
      </c>
      <c r="O175" s="16" t="inlineStr">
        <is>
          <t>Calles de una aldea protegidas por densos árboles fukugi.</t>
        </is>
      </c>
      <c r="P175" s="16" t="inlineStr">
        <is>
          <t>La vegetación funciona como infraestructura contra tifones.</t>
        </is>
      </c>
      <c r="Q175" s="16" t="inlineStr">
        <is>
          <t>Calles de una aldea protegidas por densos árboles fukugi.</t>
        </is>
      </c>
      <c r="R175" s="16" t="inlineStr">
        <is>
          <t>1.5–3 h</t>
        </is>
      </c>
      <c r="S175" s="16" t="inlineStr">
        <is>
          <t>Mañana</t>
        </is>
      </c>
      <c r="T175" s="16" t="inlineStr">
        <is>
          <t>Todo el año</t>
        </is>
      </c>
      <c r="U175" s="16" t="inlineStr">
        <is>
          <t>Medio</t>
        </is>
      </c>
      <c r="V175" s="16" t="inlineStr">
        <is>
          <t>Medio</t>
        </is>
      </c>
      <c r="W175" s="89" t="n">
        <v>0</v>
      </c>
      <c r="X175" s="89" t="n">
        <v>2000</v>
      </c>
      <c r="Y175" s="89">
        <f>W175*'Configuración'!$B$4</f>
        <v/>
      </c>
      <c r="Z175" s="89">
        <f>X175*'Configuración'!$B$4</f>
        <v/>
      </c>
      <c r="AA175" s="16" t="inlineStr">
        <is>
          <t>No</t>
        </is>
      </c>
      <c r="AB175" s="16" t="inlineStr">
        <is>
          <t>—</t>
        </is>
      </c>
      <c r="AC175" s="16" t="inlineStr">
        <is>
          <t>Espacio público; alquileres variables</t>
        </is>
      </c>
      <c r="AD175" s="16" t="inlineStr">
        <is>
          <t>Sin cierre</t>
        </is>
      </c>
      <c r="AE175" s="16" t="inlineStr">
        <is>
          <t>Auto; junto a Ocean Expo Park</t>
        </is>
      </c>
      <c r="AF175" s="16" t="inlineStr">
        <is>
          <t>Buena en áreas principales; confirmar detalles con el recinto</t>
        </is>
      </c>
      <c r="AG175" s="90" t="n">
        <v>26.707</v>
      </c>
      <c r="AH175" s="90" t="n">
        <v>127.8809</v>
      </c>
      <c r="AI175" s="16" t="inlineStr">
        <is>
          <t>https://visitokinawajapan.com/</t>
        </is>
      </c>
      <c r="AJ175" s="16" t="inlineStr">
        <is>
          <t>Cambiante</t>
        </is>
      </c>
      <c r="AK175" s="16" t="inlineStr">
        <is>
          <t>HIDDEN GEM</t>
        </is>
      </c>
      <c r="AL175" s="16" t="inlineStr">
        <is>
          <t>pareja, bicicleta, fotografía, cultura</t>
        </is>
      </c>
      <c r="AM175" s="91" t="n">
        <v>5</v>
      </c>
      <c r="AN175" s="91" t="n">
        <v>5</v>
      </c>
      <c r="AO175" s="91" t="n">
        <v>5</v>
      </c>
      <c r="AP175" s="91" t="n">
        <v>2</v>
      </c>
      <c r="AQ175" s="16" t="inlineStr">
        <is>
          <t>Imagen ideal: la vegetación funciona como infraestructura contra tifones. con luz de mañana, sin multitudes dominando el encuadre.</t>
        </is>
      </c>
      <c r="AR175" s="16" t="inlineStr">
        <is>
          <t>Okinawa Churaumi Aquarium (~20 min a pie) | Nakijin Castle Ruins (~72 min en transporte)</t>
        </is>
      </c>
      <c r="AS175" s="16" t="inlineStr">
        <is>
          <t>Semi-hidden</t>
        </is>
      </c>
      <c r="AT175" s="16" t="str"/>
      <c r="AU175" s="16" t="inlineStr">
        <is>
          <t>https://www.google.com/maps/search/?api=1&amp;query=Bise%20Fukugi%20Tree%20Road%2C%20Motobu%2C%20Japan</t>
        </is>
      </c>
      <c r="AV175" s="16" t="inlineStr">
        <is>
          <t>2026-09-01</t>
        </is>
      </c>
      <c r="AW175" s="16" t="inlineStr">
        <is>
          <t>CALENDARIO / CONDICIÓN PENDIENTE</t>
        </is>
      </c>
      <c r="AX175" s="16" t="inlineStr">
        <is>
          <t>No hay cierre específico confirmado para la ventana, pero horarios o acceso pueden variar.</t>
        </is>
      </c>
      <c r="AY175" s="16" t="inlineStr">
        <is>
          <t>Reconfirmar en la web oficial al fijar fechas.</t>
        </is>
      </c>
    </row>
    <row r="176" ht="66" customHeight="1">
      <c r="A176" s="16" t="inlineStr">
        <is>
          <t>JP-175</t>
        </is>
      </c>
      <c r="B176" s="16" t="inlineStr">
        <is>
          <t>Okinawa</t>
        </is>
      </c>
      <c r="C176" s="16" t="inlineStr">
        <is>
          <t>Okinawa</t>
        </is>
      </c>
      <c r="D176" s="16" t="inlineStr">
        <is>
          <t>Okinawa</t>
        </is>
      </c>
      <c r="E176" s="16" t="inlineStr">
        <is>
          <t>Nakijin</t>
        </is>
      </c>
      <c r="F176" s="16" t="inlineStr">
        <is>
          <t>Nakijin</t>
        </is>
      </c>
      <c r="G176" s="16" t="inlineStr">
        <is>
          <t>Motobu</t>
        </is>
      </c>
      <c r="H176" s="16" t="inlineStr">
        <is>
          <t>Nakijin Castle Ruins</t>
        </is>
      </c>
      <c r="I176" s="16" t="inlineStr">
        <is>
          <t>今帰仁城跡</t>
        </is>
      </c>
      <c r="J176" s="16" t="inlineStr">
        <is>
          <t>Nakijin Castle Ruins</t>
        </is>
      </c>
      <c r="K176" s="16" t="inlineStr">
        <is>
          <t>🏯 Historia y patrimonio</t>
        </is>
      </c>
      <c r="L176" s="16" t="inlineStr">
        <is>
          <t>ruinas de castillo</t>
        </is>
      </c>
      <c r="M176" s="16" t="inlineStr">
        <is>
          <t>A</t>
        </is>
      </c>
      <c r="N176" s="16" t="inlineStr">
        <is>
          <t>Murallas de piedra sobre bosque y mar forman el gusuku más paisajístico del norte. Clasificación v2: excelente y muy recomendable, pero no justifica por sí sola adaptar la ruta.</t>
        </is>
      </c>
      <c r="O176" s="16" t="inlineStr">
        <is>
          <t>Capital histórica de Hokuzan con largas murallas curvas.</t>
        </is>
      </c>
      <c r="P176" s="16" t="inlineStr">
        <is>
          <t>El aislamiento y relieve comunican un reino regional distinto.</t>
        </is>
      </c>
      <c r="Q176" s="16" t="inlineStr">
        <is>
          <t>Capital histórica de Hokuzan con largas murallas curvas.</t>
        </is>
      </c>
      <c r="R176" s="16" t="inlineStr">
        <is>
          <t>1.5–2.5 h</t>
        </is>
      </c>
      <c r="S176" s="16" t="inlineStr">
        <is>
          <t>Mañana</t>
        </is>
      </c>
      <c r="T176" s="16" t="inlineStr">
        <is>
          <t>Enero–febrero para sakura Okinawense</t>
        </is>
      </c>
      <c r="U176" s="16" t="inlineStr">
        <is>
          <t>Medio</t>
        </is>
      </c>
      <c r="V176" s="16" t="inlineStr">
        <is>
          <t>Medio</t>
        </is>
      </c>
      <c r="W176" s="89" t="n">
        <v>600</v>
      </c>
      <c r="X176" s="89" t="n">
        <v>600</v>
      </c>
      <c r="Y176" s="89">
        <f>W176*'Configuración'!$B$4</f>
        <v/>
      </c>
      <c r="Z176" s="89">
        <f>X176*'Configuración'!$B$4</f>
        <v/>
      </c>
      <c r="AA176" s="16" t="inlineStr">
        <is>
          <t>No</t>
        </is>
      </c>
      <c r="AB176" s="16" t="inlineStr">
        <is>
          <t>—</t>
        </is>
      </c>
      <c r="AC176" s="16" t="inlineStr">
        <is>
          <t>08:00–18:00 aprox.</t>
        </is>
      </c>
      <c r="AD176" s="16" t="inlineStr">
        <is>
          <t>Sin cierre ordinario</t>
        </is>
      </c>
      <c r="AE176" s="16" t="inlineStr">
        <is>
          <t>Auto</t>
        </is>
      </c>
      <c r="AF176" s="16" t="inlineStr">
        <is>
          <t>Parcial o baja; terreno irregular y condiciones naturales</t>
        </is>
      </c>
      <c r="AG176" s="90" t="n">
        <v>26.6913</v>
      </c>
      <c r="AH176" s="90" t="n">
        <v>127.9293</v>
      </c>
      <c r="AI176" s="16" t="inlineStr">
        <is>
          <t>https://visitokinawajapan.com/discover/world-heritage-top/nakijin-castle-ruins/</t>
        </is>
      </c>
      <c r="AJ176" s="16" t="inlineStr">
        <is>
          <t>Cambiante</t>
        </is>
      </c>
      <c r="AK176" s="16" t="inlineStr">
        <is>
          <t>MUST SEE / HISTORY</t>
        </is>
      </c>
      <c r="AL176" s="16" t="inlineStr">
        <is>
          <t>historia, fotografía, paisaje</t>
        </is>
      </c>
      <c r="AM176" s="91" t="n">
        <v>5</v>
      </c>
      <c r="AN176" s="91" t="n">
        <v>5</v>
      </c>
      <c r="AO176" s="91" t="n">
        <v>5</v>
      </c>
      <c r="AP176" s="91" t="n">
        <v>2</v>
      </c>
      <c r="AQ176" s="16" t="inlineStr">
        <is>
          <t>Imagen ideal: el aislamiento y relieve comunican un reino regional distinto. con luz de mañana, sin multitudes dominando el encuadre.</t>
        </is>
      </c>
      <c r="AR176" s="16" t="inlineStr">
        <is>
          <t>Bise Fukugi Tree Road (~72 min en transporte) | Okinawa Churaumi Aquarium (~72 min en transporte)</t>
        </is>
      </c>
      <c r="AS176" s="16" t="inlineStr">
        <is>
          <t>Lugar conocido pero excelente</t>
        </is>
      </c>
      <c r="AT176" s="16" t="str"/>
      <c r="AU176" s="16" t="inlineStr">
        <is>
          <t>https://www.google.com/maps/search/?api=1&amp;query=Nakijin%20Castle%20Ruins%2C%20Nakijin%2C%20Japan</t>
        </is>
      </c>
      <c r="AV176" s="16" t="inlineStr">
        <is>
          <t>2026-09-01</t>
        </is>
      </c>
      <c r="AW176" s="16" t="inlineStr">
        <is>
          <t>ABIERTO; FLORACIÓN NO GARANTIZADA</t>
        </is>
      </c>
      <c r="AX176" s="16" t="inlineStr">
        <is>
          <t>En Japón central la floración plena suele ser más tardía; finales de marzo es incierto.</t>
        </is>
      </c>
      <c r="AY176" s="16" t="inlineStr">
        <is>
          <t>No basar la visita en sakura hasta el pronóstico 2027.</t>
        </is>
      </c>
    </row>
    <row r="177" ht="66" customHeight="1">
      <c r="A177" s="16" t="inlineStr">
        <is>
          <t>JP-176</t>
        </is>
      </c>
      <c r="B177" s="16" t="inlineStr">
        <is>
          <t>Okinawa</t>
        </is>
      </c>
      <c r="C177" s="16" t="inlineStr">
        <is>
          <t>Okinawa</t>
        </is>
      </c>
      <c r="D177" s="16" t="inlineStr">
        <is>
          <t>Okinawa</t>
        </is>
      </c>
      <c r="E177" s="16" t="inlineStr">
        <is>
          <t>Nakijin</t>
        </is>
      </c>
      <c r="F177" s="16" t="inlineStr">
        <is>
          <t>Kouri</t>
        </is>
      </c>
      <c r="G177" s="16" t="inlineStr">
        <is>
          <t>Motobu</t>
        </is>
      </c>
      <c r="H177" s="16" t="inlineStr">
        <is>
          <t>Kouri Island and bridge</t>
        </is>
      </c>
      <c r="I177" s="16" t="inlineStr">
        <is>
          <t>古宇利島・古宇利大橋</t>
        </is>
      </c>
      <c r="J177" s="16" t="inlineStr">
        <is>
          <t>Kouri Island and bridge</t>
        </is>
      </c>
      <c r="K177" s="16" t="inlineStr">
        <is>
          <t>🌊 Playa/mar/islas</t>
        </is>
      </c>
      <c r="L177" s="16" t="inlineStr">
        <is>
          <t>isla/drive</t>
        </is>
      </c>
      <c r="M177" s="16" t="inlineStr">
        <is>
          <t>A</t>
        </is>
      </c>
      <c r="N177" s="16" t="inlineStr">
        <is>
          <t>El puente y color del mar crean una de las llegadas más espectaculares de la isla principal.</t>
        </is>
      </c>
      <c r="O177" s="16" t="inlineStr">
        <is>
          <t>Isla pequeña conectada por un puente de casi 2 km.</t>
        </is>
      </c>
      <c r="P177" s="16" t="inlineStr">
        <is>
          <t>La vista desde ambos extremos vale más que los puntos virales aislados.</t>
        </is>
      </c>
      <c r="Q177" s="16" t="inlineStr">
        <is>
          <t>Isla pequeña conectada por un puente de casi 2 km.</t>
        </is>
      </c>
      <c r="R177" s="16" t="inlineStr">
        <is>
          <t>2–4 h</t>
        </is>
      </c>
      <c r="S177" s="16" t="inlineStr">
        <is>
          <t>Mañana</t>
        </is>
      </c>
      <c r="T177" s="16" t="inlineStr">
        <is>
          <t>Días despejados</t>
        </is>
      </c>
      <c r="U177" s="16" t="inlineStr">
        <is>
          <t>Extremo</t>
        </is>
      </c>
      <c r="V177" s="16" t="inlineStr">
        <is>
          <t>Alto</t>
        </is>
      </c>
      <c r="W177" s="89" t="n">
        <v>0</v>
      </c>
      <c r="X177" s="89" t="n">
        <v>0</v>
      </c>
      <c r="Y177" s="89">
        <f>W177*'Configuración'!$B$4</f>
        <v/>
      </c>
      <c r="Z177" s="89">
        <f>X177*'Configuración'!$B$4</f>
        <v/>
      </c>
      <c r="AA177" s="16" t="inlineStr">
        <is>
          <t>No</t>
        </is>
      </c>
      <c r="AB177" s="16" t="inlineStr">
        <is>
          <t>—</t>
        </is>
      </c>
      <c r="AC177" s="16" t="inlineStr">
        <is>
          <t>Puente 24 h; atracciones variables</t>
        </is>
      </c>
      <c r="AD177" s="16" t="inlineStr">
        <is>
          <t>Clima</t>
        </is>
      </c>
      <c r="AE177" s="16" t="inlineStr">
        <is>
          <t>Auto</t>
        </is>
      </c>
      <c r="AF177" s="16" t="inlineStr">
        <is>
          <t>Parcial o baja; terreno irregular y condiciones naturales</t>
        </is>
      </c>
      <c r="AG177" s="90" t="n">
        <v>26.6964</v>
      </c>
      <c r="AH177" s="90" t="n">
        <v>128.0183</v>
      </c>
      <c r="AI177" s="16" t="inlineStr">
        <is>
          <t>https://visitokinawajapan.com/</t>
        </is>
      </c>
      <c r="AJ177" s="16" t="inlineStr">
        <is>
          <t>Cambiante</t>
        </is>
      </c>
      <c r="AK177" s="16" t="inlineStr">
        <is>
          <t>SEA / VIEW</t>
        </is>
      </c>
      <c r="AL177" s="16" t="inlineStr">
        <is>
          <t>pareja, fotografía, playa, drive</t>
        </is>
      </c>
      <c r="AM177" s="91" t="n">
        <v>5</v>
      </c>
      <c r="AN177" s="91" t="n">
        <v>4</v>
      </c>
      <c r="AO177" s="91" t="n">
        <v>4</v>
      </c>
      <c r="AP177" s="91" t="n">
        <v>4</v>
      </c>
      <c r="AQ177" s="16" t="inlineStr">
        <is>
          <t>Imagen ideal: la vista desde ambos extremos vale más que los puntos virales aislados. con luz de mañana, sin multitudes dominando el encuadre.</t>
        </is>
      </c>
      <c r="AR177" s="16" t="inlineStr">
        <is>
          <t>Heart Rock (~36 min en transporte)</t>
        </is>
      </c>
      <c r="AS177" s="16" t="inlineStr">
        <is>
          <t>Popular / turístico</t>
        </is>
      </c>
      <c r="AT177" s="16" t="str"/>
      <c r="AU177" s="16" t="inlineStr">
        <is>
          <t>https://www.google.com/maps/search/?api=1&amp;query=Kouri%20Island%20and%20bridge%2C%20Nakijin%2C%20Japan</t>
        </is>
      </c>
      <c r="AV177" s="16" t="inlineStr">
        <is>
          <t>2026-09-01</t>
        </is>
      </c>
      <c r="AW177" s="16" t="inlineStr">
        <is>
          <t>VARIABLE POR MAR</t>
        </is>
      </c>
      <c r="AX177" s="16" t="inlineStr">
        <is>
          <t>Agua más fresca, viento y servicios de playa reducidos; ferries/tours pueden cancelarse.</t>
        </is>
      </c>
      <c r="AY177" s="16" t="inlineStr">
        <is>
          <t>Revisar oleaje, bandera y transporte 24–48 h antes; valorar neopreno.</t>
        </is>
      </c>
    </row>
    <row r="178" ht="66" customHeight="1">
      <c r="A178" s="16" t="inlineStr">
        <is>
          <t>JP-177</t>
        </is>
      </c>
      <c r="B178" s="16" t="inlineStr">
        <is>
          <t>Okinawa</t>
        </is>
      </c>
      <c r="C178" s="16" t="inlineStr">
        <is>
          <t>Okinawa</t>
        </is>
      </c>
      <c r="D178" s="16" t="inlineStr">
        <is>
          <t>Okinawa</t>
        </is>
      </c>
      <c r="E178" s="16" t="inlineStr">
        <is>
          <t>Nakijin</t>
        </is>
      </c>
      <c r="F178" s="16" t="inlineStr">
        <is>
          <t>Kouri</t>
        </is>
      </c>
      <c r="G178" s="16" t="inlineStr">
        <is>
          <t>Motobu</t>
        </is>
      </c>
      <c r="H178" s="16" t="inlineStr">
        <is>
          <t>Heart Rock</t>
        </is>
      </c>
      <c r="I178" s="16" t="inlineStr">
        <is>
          <t>ハートロック</t>
        </is>
      </c>
      <c r="J178" s="16" t="inlineStr">
        <is>
          <t>Heart Rock</t>
        </is>
      </c>
      <c r="K178" s="16" t="inlineStr">
        <is>
          <t>📷 Fotografía</t>
        </is>
      </c>
      <c r="L178" s="16" t="inlineStr">
        <is>
          <t>formación rocosa/playa</t>
        </is>
      </c>
      <c r="M178" s="16" t="inlineStr">
        <is>
          <t>D</t>
        </is>
      </c>
      <c r="N178" s="16" t="inlineStr">
        <is>
          <t>El acceso, estacionamiento y filas no compensan una roca que requiere ángulo específico.</t>
        </is>
      </c>
      <c r="O178" s="16" t="inlineStr">
        <is>
          <t>Dos rocas marinas popularizadas como corazón.</t>
        </is>
      </c>
      <c r="P178" s="16" t="inlineStr">
        <is>
          <t>El efecto depende de fotografía y marea, no de una experiencia amplia.</t>
        </is>
      </c>
      <c r="Q178" s="16" t="inlineStr">
        <is>
          <t>Dos rocas marinas popularizadas como corazón.</t>
        </is>
      </c>
      <c r="R178" s="16" t="inlineStr">
        <is>
          <t>30–60 min</t>
        </is>
      </c>
      <c r="S178" s="16" t="inlineStr">
        <is>
          <t>Atardecer</t>
        </is>
      </c>
      <c r="T178" s="16" t="inlineStr">
        <is>
          <t>Marea y buen clima</t>
        </is>
      </c>
      <c r="U178" s="16" t="inlineStr">
        <is>
          <t>Extremo</t>
        </is>
      </c>
      <c r="V178" s="16" t="inlineStr">
        <is>
          <t>Extremo</t>
        </is>
      </c>
      <c r="W178" s="89" t="n">
        <v>0</v>
      </c>
      <c r="X178" s="89" t="n">
        <v>500</v>
      </c>
      <c r="Y178" s="89">
        <f>W178*'Configuración'!$B$4</f>
        <v/>
      </c>
      <c r="Z178" s="89">
        <f>X178*'Configuración'!$B$4</f>
        <v/>
      </c>
      <c r="AA178" s="16" t="inlineStr">
        <is>
          <t>No</t>
        </is>
      </c>
      <c r="AB178" s="16" t="inlineStr">
        <is>
          <t>—</t>
        </is>
      </c>
      <c r="AC178" s="16" t="inlineStr">
        <is>
          <t>Playa abierta</t>
        </is>
      </c>
      <c r="AD178" s="16" t="inlineStr">
        <is>
          <t>Clima/marea</t>
        </is>
      </c>
      <c r="AE178" s="16" t="inlineStr">
        <is>
          <t>Auto + sendero</t>
        </is>
      </c>
      <c r="AF178" s="16" t="inlineStr">
        <is>
          <t>Parcial o baja; terreno irregular y condiciones naturales</t>
        </is>
      </c>
      <c r="AG178" s="90" t="n">
        <v>26.7193</v>
      </c>
      <c r="AH178" s="90" t="n">
        <v>128.0151</v>
      </c>
      <c r="AI178" s="16" t="inlineStr">
        <is>
          <t>https://visitokinawajapan.com/</t>
        </is>
      </c>
      <c r="AJ178" s="16" t="inlineStr">
        <is>
          <t>Cambiante</t>
        </is>
      </c>
      <c r="AK178" s="16" t="inlineStr">
        <is>
          <t>VIRAL / SKIP</t>
        </is>
      </c>
      <c r="AL178" s="16" t="inlineStr">
        <is>
          <t>fotografía</t>
        </is>
      </c>
      <c r="AM178" s="91" t="n">
        <v>3</v>
      </c>
      <c r="AN178" s="91" t="n">
        <v>2</v>
      </c>
      <c r="AO178" s="91" t="n">
        <v>1</v>
      </c>
      <c r="AP178" s="91" t="n">
        <v>5</v>
      </c>
      <c r="AQ178" s="16" t="inlineStr">
        <is>
          <t>Imagen ideal: el efecto depende de fotografía y marea, no de una experiencia amplia. con luz de atardecer, sin multitudes dominando el encuadre.</t>
        </is>
      </c>
      <c r="AR178" s="16" t="inlineStr">
        <is>
          <t>Kouri Island and bridge (~36 min en transporte)</t>
        </is>
      </c>
      <c r="AS178" s="16" t="inlineStr">
        <is>
          <t>Popular / turístico</t>
        </is>
      </c>
      <c r="AT178" s="16" t="str"/>
      <c r="AU178" s="16" t="inlineStr">
        <is>
          <t>https://www.google.com/maps/search/?api=1&amp;query=Heart%20Rock%2C%20Nakijin%2C%20Japan</t>
        </is>
      </c>
      <c r="AV178" s="16" t="inlineStr">
        <is>
          <t>2026-09-01</t>
        </is>
      </c>
      <c r="AW178" s="16" t="inlineStr">
        <is>
          <t>VARIABLE POR MAR</t>
        </is>
      </c>
      <c r="AX178" s="16" t="inlineStr">
        <is>
          <t>Agua más fresca, viento y servicios de playa reducidos; ferries/tours pueden cancelarse.</t>
        </is>
      </c>
      <c r="AY178" s="16" t="inlineStr">
        <is>
          <t>Revisar oleaje, bandera y transporte 24–48 h antes; valorar neopreno.</t>
        </is>
      </c>
    </row>
    <row r="179" ht="66" customHeight="1">
      <c r="A179" s="16" t="inlineStr">
        <is>
          <t>JP-178</t>
        </is>
      </c>
      <c r="B179" s="16" t="inlineStr">
        <is>
          <t>Okinawa</t>
        </is>
      </c>
      <c r="C179" s="16" t="inlineStr">
        <is>
          <t>Okinawa</t>
        </is>
      </c>
      <c r="D179" s="16" t="inlineStr">
        <is>
          <t>Okinawa</t>
        </is>
      </c>
      <c r="E179" s="16" t="inlineStr">
        <is>
          <t>Nakijin</t>
        </is>
      </c>
      <c r="F179" s="16" t="inlineStr">
        <is>
          <t>Gogayama</t>
        </is>
      </c>
      <c r="G179" s="16" t="inlineStr">
        <is>
          <t>Motobu</t>
        </is>
      </c>
      <c r="H179" s="16" t="inlineStr">
        <is>
          <t>JUNGLIA OKINAWA</t>
        </is>
      </c>
      <c r="I179" s="16" t="inlineStr">
        <is>
          <t>ジャングリア沖縄</t>
        </is>
      </c>
      <c r="J179" s="16" t="inlineStr">
        <is>
          <t>JUNGLIA OKINAWA</t>
        </is>
      </c>
      <c r="K179" s="16" t="inlineStr">
        <is>
          <t>🎢 Entretenimiento</t>
        </is>
      </c>
      <c r="L179" s="16" t="inlineStr">
        <is>
          <t>parque temático</t>
        </is>
      </c>
      <c r="M179" s="16" t="inlineStr">
        <is>
          <t>C</t>
        </is>
      </c>
      <c r="N179" s="16" t="inlineStr">
        <is>
          <t>Concepto visual fuerte, pero precio, filas y logística reducen su valor frente a la naturaleza real del norte.</t>
        </is>
      </c>
      <c r="O179" s="16" t="inlineStr">
        <is>
          <t>Parque de aventura y dinosaurios con globo, buggies y spa.</t>
        </is>
      </c>
      <c r="P179" s="16" t="inlineStr">
        <is>
          <t>Integra atracciones en paisaje subtropical, aunque el acceso interno depende de loterías/pases.</t>
        </is>
      </c>
      <c r="Q179" s="16" t="inlineStr">
        <is>
          <t>Parque de aventura y dinosaurios con globo, buggies y spa.</t>
        </is>
      </c>
      <c r="R179" s="16" t="inlineStr">
        <is>
          <t>Día completo</t>
        </is>
      </c>
      <c r="S179" s="16" t="inlineStr">
        <is>
          <t>Mañana</t>
        </is>
      </c>
      <c r="T179" s="16" t="inlineStr">
        <is>
          <t>Evitar calor, lluvia y tifones</t>
        </is>
      </c>
      <c r="U179" s="16" t="inlineStr">
        <is>
          <t>Extremo</t>
        </is>
      </c>
      <c r="V179" s="16" t="inlineStr">
        <is>
          <t>Extremo</t>
        </is>
      </c>
      <c r="W179" s="89" t="n">
        <v>8800</v>
      </c>
      <c r="X179" s="89" t="n">
        <v>15000</v>
      </c>
      <c r="Y179" s="89">
        <f>W179*'Configuración'!$B$4</f>
        <v/>
      </c>
      <c r="Z179" s="89">
        <f>X179*'Configuración'!$B$4</f>
        <v/>
      </c>
      <c r="AA179" s="16" t="inlineStr">
        <is>
          <t>Sí</t>
        </is>
      </c>
      <c r="AB179" s="16" t="inlineStr">
        <is>
          <t>Semanas; app, parking y pases</t>
        </is>
      </c>
      <c r="AC179" s="16" t="inlineStr">
        <is>
          <t>Calendario publicado hasta 4 meses; confirmar</t>
        </is>
      </c>
      <c r="AD179" s="16" t="inlineStr">
        <is>
          <t>Tifones/cierres programados</t>
        </is>
      </c>
      <c r="AE179" s="16" t="inlineStr">
        <is>
          <t>Auto o JUNGLIA Express</t>
        </is>
      </c>
      <c r="AF179" s="16" t="inlineStr">
        <is>
          <t>Buena en áreas principales; confirmar detalles con el recinto</t>
        </is>
      </c>
      <c r="AG179" s="90" t="n">
        <v>26.6422</v>
      </c>
      <c r="AH179" s="90" t="n">
        <v>127.9736</v>
      </c>
      <c r="AI179" s="16" t="inlineStr">
        <is>
          <t>https://junglia.jp/en</t>
        </is>
      </c>
      <c r="AJ179" s="16" t="inlineStr">
        <is>
          <t>Cambiante</t>
        </is>
      </c>
      <c r="AK179" s="16" t="inlineStr">
        <is>
          <t>NEW / CONDITIONAL</t>
        </is>
      </c>
      <c r="AL179" s="16" t="inlineStr">
        <is>
          <t>entretenimiento, spa, fotografía</t>
        </is>
      </c>
      <c r="AM179" s="91" t="n">
        <v>5</v>
      </c>
      <c r="AN179" s="91" t="n">
        <v>4</v>
      </c>
      <c r="AO179" s="91" t="n">
        <v>2</v>
      </c>
      <c r="AP179" s="91" t="n">
        <v>5</v>
      </c>
      <c r="AQ179" s="16" t="inlineStr">
        <is>
          <t>Imagen ideal: integra atracciones en paisaje subtropical, aunque el acceso interno depende de loterías/pases. con luz de mañana, sin multitudes dominando el encuadre.</t>
        </is>
      </c>
      <c r="AR179" s="16" t="str"/>
      <c r="AS179" s="16" t="inlineStr">
        <is>
          <t>Popular / turístico</t>
        </is>
      </c>
      <c r="AT179" s="16" t="str"/>
      <c r="AU179" s="16" t="inlineStr">
        <is>
          <t>https://www.google.com/maps/search/?api=1&amp;query=JUNGLIA%20OKINAWA%2C%20Nakijin%2C%20Japan</t>
        </is>
      </c>
      <c r="AV179" s="16" t="inlineStr">
        <is>
          <t>2026-09-01</t>
        </is>
      </c>
      <c r="AW179" s="16" t="inlineStr">
        <is>
          <t>HORARIO 2027 PENDIENTE</t>
        </is>
      </c>
      <c r="AX179" s="16" t="inlineStr">
        <is>
          <t>Solo publica/confirmar horarios con pocos meses de horizonte.</t>
        </is>
      </c>
      <c r="AY179" s="16" t="inlineStr">
        <is>
          <t>Esperar a que la fecha aparezca confirmada.</t>
        </is>
      </c>
    </row>
    <row r="180" ht="66" customHeight="1">
      <c r="A180" s="16" t="inlineStr">
        <is>
          <t>JP-179</t>
        </is>
      </c>
      <c r="B180" s="16" t="inlineStr">
        <is>
          <t>Okinawa</t>
        </is>
      </c>
      <c r="C180" s="16" t="inlineStr">
        <is>
          <t>Okinawa</t>
        </is>
      </c>
      <c r="D180" s="16" t="inlineStr">
        <is>
          <t>Okinawa</t>
        </is>
      </c>
      <c r="E180" s="16" t="inlineStr">
        <is>
          <t>Kunigami</t>
        </is>
      </c>
      <c r="F180" s="16" t="inlineStr">
        <is>
          <t>Yanbaru</t>
        </is>
      </c>
      <c r="G180" s="16" t="inlineStr">
        <is>
          <t>Yanbaru</t>
        </is>
      </c>
      <c r="H180" s="16" t="inlineStr">
        <is>
          <t>Yambaru National Park</t>
        </is>
      </c>
      <c r="I180" s="16" t="inlineStr">
        <is>
          <t>やんばる国立公園</t>
        </is>
      </c>
      <c r="J180" s="16" t="inlineStr">
        <is>
          <t>Yambaru National Park</t>
        </is>
      </c>
      <c r="K180" s="16" t="inlineStr">
        <is>
          <t>🌿 Naturaleza</t>
        </is>
      </c>
      <c r="L180" s="16" t="inlineStr">
        <is>
          <t>parque nacional</t>
        </is>
      </c>
      <c r="M180" s="16" t="inlineStr">
        <is>
          <t>S</t>
        </is>
      </c>
      <c r="N180" s="16" t="inlineStr">
        <is>
          <t>Bosque subtropical endémico y patrimonio natural mundial: una de las razones reales para ir al norte.</t>
        </is>
      </c>
      <c r="O180" s="16" t="inlineStr">
        <is>
          <t>Montañas, bosque primario y hábitat de especies únicas.</t>
        </is>
      </c>
      <c r="P180" s="16" t="inlineStr">
        <is>
          <t>Es naturaleza viva y frágil, no una atracción fabricada.</t>
        </is>
      </c>
      <c r="Q180" s="16" t="inlineStr">
        <is>
          <t>Montañas, bosque primario y hábitat de especies únicas.</t>
        </is>
      </c>
      <c r="R180" s="16" t="inlineStr">
        <is>
          <t>Día completo–2 días</t>
        </is>
      </c>
      <c r="S180" s="16" t="inlineStr">
        <is>
          <t>Mañana</t>
        </is>
      </c>
      <c r="T180" s="16" t="inlineStr">
        <is>
          <t>Primavera y otoño</t>
        </is>
      </c>
      <c r="U180" s="16" t="inlineStr">
        <is>
          <t>Bajo</t>
        </is>
      </c>
      <c r="V180" s="16" t="inlineStr">
        <is>
          <t>Bajo</t>
        </is>
      </c>
      <c r="W180" s="89" t="n">
        <v>0</v>
      </c>
      <c r="X180" s="89" t="n">
        <v>12000</v>
      </c>
      <c r="Y180" s="89">
        <f>W180*'Configuración'!$B$4</f>
        <v/>
      </c>
      <c r="Z180" s="89">
        <f>X180*'Configuración'!$B$4</f>
        <v/>
      </c>
      <c r="AA180" s="16" t="inlineStr">
        <is>
          <t>Recomendable</t>
        </is>
      </c>
      <c r="AB180" s="16" t="inlineStr">
        <is>
          <t>Para guía nocturna/kayak, días</t>
        </is>
      </c>
      <c r="AC180" s="16" t="inlineStr">
        <is>
          <t>Accesos y tours variables</t>
        </is>
      </c>
      <c r="AD180" s="16" t="inlineStr">
        <is>
          <t>Clima/tifones</t>
        </is>
      </c>
      <c r="AE180" s="16" t="inlineStr">
        <is>
          <t>Auto; tours desde Kunigami/Higashi</t>
        </is>
      </c>
      <c r="AF180" s="16" t="inlineStr">
        <is>
          <t>Buena en áreas principales; confirmar detalles con el recinto</t>
        </is>
      </c>
      <c r="AG180" s="90" t="n">
        <v>26.7445</v>
      </c>
      <c r="AH180" s="90" t="n">
        <v>128.2334</v>
      </c>
      <c r="AI180" s="16" t="inlineStr">
        <is>
          <t>https://visitokinawajapan.com/destinations/okinawa-main-island/northern-okinawa-main-island/yanbaru/</t>
        </is>
      </c>
      <c r="AJ180" s="16" t="inlineStr">
        <is>
          <t>Cambiante</t>
        </is>
      </c>
      <c r="AK180" s="16" t="inlineStr">
        <is>
          <t>MUST SEE / NATURE</t>
        </is>
      </c>
      <c r="AL180" s="16" t="inlineStr">
        <is>
          <t>naturaleza, aventura, fauna, fotografía</t>
        </is>
      </c>
      <c r="AM180" s="91" t="n">
        <v>5</v>
      </c>
      <c r="AN180" s="91" t="n">
        <v>5</v>
      </c>
      <c r="AO180" s="91" t="n">
        <v>3</v>
      </c>
      <c r="AP180" s="91" t="n">
        <v>1</v>
      </c>
      <c r="AQ180" s="16" t="inlineStr">
        <is>
          <t>Imagen ideal: es naturaleza viva y frágil, no una atracción fabricada. con luz de mañana, sin multitudes dominando el encuadre.</t>
        </is>
      </c>
      <c r="AR180" s="16" t="inlineStr">
        <is>
          <t>Hiji Falls (~83 min en transporte)</t>
        </is>
      </c>
      <c r="AS180" s="16" t="inlineStr">
        <is>
          <t>Lugar conocido pero excelente</t>
        </is>
      </c>
      <c r="AT180" s="16" t="str"/>
      <c r="AU180" s="16" t="inlineStr">
        <is>
          <t>https://www.google.com/maps/search/?api=1&amp;query=Yambaru%20National%20Park%2C%20Kunigami%2C%20Japan</t>
        </is>
      </c>
      <c r="AV180" s="16" t="inlineStr">
        <is>
          <t>2026-09-01</t>
        </is>
      </c>
      <c r="AW180" s="16" t="inlineStr">
        <is>
          <t>CALENDARIO / CONDICIÓN PENDIENTE</t>
        </is>
      </c>
      <c r="AX180" s="16" t="inlineStr">
        <is>
          <t>No hay cierre específico confirmado para la ventana, pero horarios o acceso pueden variar.</t>
        </is>
      </c>
      <c r="AY180" s="16" t="inlineStr">
        <is>
          <t>Reconfirmar en la web oficial al fijar fechas.</t>
        </is>
      </c>
    </row>
    <row r="181" ht="66" customHeight="1">
      <c r="A181" s="16" t="inlineStr">
        <is>
          <t>JP-180</t>
        </is>
      </c>
      <c r="B181" s="16" t="inlineStr">
        <is>
          <t>Okinawa</t>
        </is>
      </c>
      <c r="C181" s="16" t="inlineStr">
        <is>
          <t>Okinawa</t>
        </is>
      </c>
      <c r="D181" s="16" t="inlineStr">
        <is>
          <t>Okinawa</t>
        </is>
      </c>
      <c r="E181" s="16" t="inlineStr">
        <is>
          <t>Kunigami</t>
        </is>
      </c>
      <c r="F181" s="16" t="inlineStr">
        <is>
          <t>Hiji</t>
        </is>
      </c>
      <c r="G181" s="16" t="inlineStr">
        <is>
          <t>Yanbaru</t>
        </is>
      </c>
      <c r="H181" s="16" t="inlineStr">
        <is>
          <t>Hiji Falls</t>
        </is>
      </c>
      <c r="I181" s="16" t="inlineStr">
        <is>
          <t>比地大滝</t>
        </is>
      </c>
      <c r="J181" s="16" t="inlineStr">
        <is>
          <t>Hiji Falls</t>
        </is>
      </c>
      <c r="K181" s="16" t="inlineStr">
        <is>
          <t>🥾 Senderismo/aventura</t>
        </is>
      </c>
      <c r="L181" s="16" t="inlineStr">
        <is>
          <t>cascada/sendero</t>
        </is>
      </c>
      <c r="M181" s="16" t="inlineStr">
        <is>
          <t>A</t>
        </is>
      </c>
      <c r="N181" s="16" t="inlineStr">
        <is>
          <t>El sendero permite entrar al bosque de Yanbaru sin expedición técnica.</t>
        </is>
      </c>
      <c r="O181" s="16" t="inlineStr">
        <is>
          <t>Caminata acondicionada hasta la cascada más alta de la isla principal.</t>
        </is>
      </c>
      <c r="P181" s="16" t="inlineStr">
        <is>
          <t>Gran introducción a helechos y humedad subtropical.</t>
        </is>
      </c>
      <c r="Q181" s="16" t="inlineStr">
        <is>
          <t>Caminata acondicionada hasta la cascada más alta de la isla principal.</t>
        </is>
      </c>
      <c r="R181" s="16" t="inlineStr">
        <is>
          <t>2–3 h</t>
        </is>
      </c>
      <c r="S181" s="16" t="inlineStr">
        <is>
          <t>Mañana</t>
        </is>
      </c>
      <c r="T181" s="16" t="inlineStr">
        <is>
          <t>Temporada verde; evitar lluvia fuerte</t>
        </is>
      </c>
      <c r="U181" s="16" t="inlineStr">
        <is>
          <t>Medio</t>
        </is>
      </c>
      <c r="V181" s="16" t="inlineStr">
        <is>
          <t>Bajo</t>
        </is>
      </c>
      <c r="W181" s="89" t="n">
        <v>500</v>
      </c>
      <c r="X181" s="89" t="n">
        <v>500</v>
      </c>
      <c r="Y181" s="89">
        <f>W181*'Configuración'!$B$4</f>
        <v/>
      </c>
      <c r="Z181" s="89">
        <f>X181*'Configuración'!$B$4</f>
        <v/>
      </c>
      <c r="AA181" s="16" t="inlineStr">
        <is>
          <t>No</t>
        </is>
      </c>
      <c r="AB181" s="16" t="inlineStr">
        <is>
          <t>—</t>
        </is>
      </c>
      <c r="AC181" s="16" t="inlineStr">
        <is>
          <t>09:00–18:00 aprox.</t>
        </is>
      </c>
      <c r="AD181" s="16" t="inlineStr">
        <is>
          <t>Clima</t>
        </is>
      </c>
      <c r="AE181" s="16" t="inlineStr">
        <is>
          <t>Auto</t>
        </is>
      </c>
      <c r="AF181" s="16" t="inlineStr">
        <is>
          <t>Parcial o baja; terreno irregular y condiciones naturales</t>
        </is>
      </c>
      <c r="AG181" s="90" t="n">
        <v>26.7293</v>
      </c>
      <c r="AH181" s="90" t="n">
        <v>128.1764</v>
      </c>
      <c r="AI181" s="16" t="inlineStr">
        <is>
          <t>https://visitokinawajapan.com/destinations/okinawa-main-island/northern-okinawa-main-island/yanbaru/</t>
        </is>
      </c>
      <c r="AJ181" s="16" t="inlineStr">
        <is>
          <t>Cambiante</t>
        </is>
      </c>
      <c r="AK181" s="16" t="inlineStr">
        <is>
          <t>NATURE</t>
        </is>
      </c>
      <c r="AL181" s="16" t="inlineStr">
        <is>
          <t>senderismo, naturaleza, fotografía</t>
        </is>
      </c>
      <c r="AM181" s="91" t="n">
        <v>5</v>
      </c>
      <c r="AN181" s="91" t="n">
        <v>4</v>
      </c>
      <c r="AO181" s="91" t="n">
        <v>5</v>
      </c>
      <c r="AP181" s="91" t="n">
        <v>1</v>
      </c>
      <c r="AQ181" s="16" t="inlineStr">
        <is>
          <t>Imagen ideal: gran introducción a helechos y humedad subtropical. con luz de mañana, sin multitudes dominando el encuadre.</t>
        </is>
      </c>
      <c r="AR181" s="16" t="inlineStr">
        <is>
          <t>Yambaru National Park (~83 min en transporte)</t>
        </is>
      </c>
      <c r="AS181" s="16" t="inlineStr">
        <is>
          <t>Semi-hidden</t>
        </is>
      </c>
      <c r="AT181" s="16" t="str"/>
      <c r="AU181" s="16" t="inlineStr">
        <is>
          <t>https://www.google.com/maps/search/?api=1&amp;query=Hiji%20Falls%2C%20Kunigami%2C%20Japan</t>
        </is>
      </c>
      <c r="AV181" s="16" t="inlineStr">
        <is>
          <t>2026-09-01</t>
        </is>
      </c>
      <c r="AW181" s="16" t="inlineStr">
        <is>
          <t>RIESGO ESTACIONAL</t>
        </is>
      </c>
      <c r="AX181" s="16" t="inlineStr">
        <is>
          <t>Posibles nieve, hielo, barro, viento, cierres y menos horas de luz.</t>
        </is>
      </c>
      <c r="AY181" s="16" t="inlineStr">
        <is>
          <t>Revisar clima, sendero y último transporte 24–48 h antes.</t>
        </is>
      </c>
    </row>
    <row r="182" ht="66" customHeight="1">
      <c r="A182" s="16" t="inlineStr">
        <is>
          <t>JP-181</t>
        </is>
      </c>
      <c r="B182" s="16" t="inlineStr">
        <is>
          <t>Okinawa</t>
        </is>
      </c>
      <c r="C182" s="16" t="inlineStr">
        <is>
          <t>Okinawa</t>
        </is>
      </c>
      <c r="D182" s="16" t="inlineStr">
        <is>
          <t>Okinawa</t>
        </is>
      </c>
      <c r="E182" s="16" t="inlineStr">
        <is>
          <t>Kunigami</t>
        </is>
      </c>
      <c r="F182" s="16" t="inlineStr">
        <is>
          <t>Ginami</t>
        </is>
      </c>
      <c r="G182" s="16" t="inlineStr">
        <is>
          <t>Yanbaru</t>
        </is>
      </c>
      <c r="H182" s="16" t="inlineStr">
        <is>
          <t>ASMUI Spiritual Hikes</t>
        </is>
      </c>
      <c r="I182" s="16" t="inlineStr">
        <is>
          <t>ASMUI Spiritual Hikes</t>
        </is>
      </c>
      <c r="J182" s="16" t="inlineStr">
        <is>
          <t>ASMUI Spiritual Hikes</t>
        </is>
      </c>
      <c r="K182" s="16" t="inlineStr">
        <is>
          <t>🥾 Senderismo/aventura</t>
        </is>
      </c>
      <c r="L182" s="16" t="inlineStr">
        <is>
          <t>karst/senderos</t>
        </is>
      </c>
      <c r="M182" s="16" t="inlineStr">
        <is>
          <t>A</t>
        </is>
      </c>
      <c r="N182" s="16" t="inlineStr">
        <is>
          <t>Formaciones de caliza antiquísimas y vistas costeras producen un paisaje casi alienígena. Clasificación v2: excelente y muy recomendable, pero no justifica por sí sola adaptar la ruta.</t>
        </is>
      </c>
      <c r="O182" s="16" t="inlineStr">
        <is>
          <t>Antiguo Daisekirinzan, con rutas entre torres kársticas y bosque sagrado.</t>
        </is>
      </c>
      <c r="P182" s="16" t="inlineStr">
        <is>
          <t>Combina geología extrema y espiritualidad de Ashimui.</t>
        </is>
      </c>
      <c r="Q182" s="16" t="inlineStr">
        <is>
          <t>Antiguo Daisekirinzan, con rutas entre torres kársticas y bosque sagrado.</t>
        </is>
      </c>
      <c r="R182" s="16" t="inlineStr">
        <is>
          <t>2–4 h</t>
        </is>
      </c>
      <c r="S182" s="16" t="inlineStr">
        <is>
          <t>Mañana</t>
        </is>
      </c>
      <c r="T182" s="16" t="inlineStr">
        <is>
          <t>Todo el año; evitar calor intenso</t>
        </is>
      </c>
      <c r="U182" s="16" t="inlineStr">
        <is>
          <t>Medio</t>
        </is>
      </c>
      <c r="V182" s="16" t="inlineStr">
        <is>
          <t>Medio</t>
        </is>
      </c>
      <c r="W182" s="89" t="n">
        <v>1200</v>
      </c>
      <c r="X182" s="89" t="n">
        <v>1200</v>
      </c>
      <c r="Y182" s="89">
        <f>W182*'Configuración'!$B$4</f>
        <v/>
      </c>
      <c r="Z182" s="89">
        <f>X182*'Configuración'!$B$4</f>
        <v/>
      </c>
      <c r="AA182" s="16" t="inlineStr">
        <is>
          <t>No</t>
        </is>
      </c>
      <c r="AB182" s="16" t="inlineStr">
        <is>
          <t>—</t>
        </is>
      </c>
      <c r="AC182" s="16" t="inlineStr">
        <is>
          <t>09:30–17:30 aprox.</t>
        </is>
      </c>
      <c r="AD182" s="16" t="inlineStr">
        <is>
          <t>Clima</t>
        </is>
      </c>
      <c r="AE182" s="16" t="inlineStr">
        <is>
          <t>Auto; cerca de Cape Hedo</t>
        </is>
      </c>
      <c r="AF182" s="16" t="inlineStr">
        <is>
          <t>Parcial o baja; terreno irregular y condiciones naturales</t>
        </is>
      </c>
      <c r="AG182" s="90" t="n">
        <v>26.871</v>
      </c>
      <c r="AH182" s="90" t="n">
        <v>128.2632</v>
      </c>
      <c r="AI182" s="16" t="inlineStr">
        <is>
          <t>https://www.asmui.jp/</t>
        </is>
      </c>
      <c r="AJ182" s="16" t="inlineStr">
        <is>
          <t>Cambiante</t>
        </is>
      </c>
      <c r="AK182" s="16" t="inlineStr">
        <is>
          <t>UNIQUE / NATURE</t>
        </is>
      </c>
      <c r="AL182" s="16" t="inlineStr">
        <is>
          <t>aventura, naturaleza, fotografía</t>
        </is>
      </c>
      <c r="AM182" s="91" t="n">
        <v>5</v>
      </c>
      <c r="AN182" s="91" t="n">
        <v>5</v>
      </c>
      <c r="AO182" s="91" t="n">
        <v>4</v>
      </c>
      <c r="AP182" s="91" t="n">
        <v>2</v>
      </c>
      <c r="AQ182" s="16" t="inlineStr">
        <is>
          <t>Imagen ideal: combina geología extrema y espiritualidad de ashimui. con luz de mañana, sin multitudes dominando el encuadre.</t>
        </is>
      </c>
      <c r="AR182" s="16" t="inlineStr">
        <is>
          <t>Cape Hedo (~3 min a pie)</t>
        </is>
      </c>
      <c r="AS182" s="16" t="inlineStr">
        <is>
          <t>Lugar conocido pero excelente</t>
        </is>
      </c>
      <c r="AT182" s="16" t="str"/>
      <c r="AU182" s="16" t="inlineStr">
        <is>
          <t>https://www.google.com/maps/search/?api=1&amp;query=ASMUI%20Spiritual%20Hikes%2C%20Kunigami%2C%20Japan</t>
        </is>
      </c>
      <c r="AV182" s="16" t="inlineStr">
        <is>
          <t>2026-09-01</t>
        </is>
      </c>
      <c r="AW182" s="16" t="inlineStr">
        <is>
          <t>RIESGO ESTACIONAL</t>
        </is>
      </c>
      <c r="AX182" s="16" t="inlineStr">
        <is>
          <t>Posibles nieve, hielo, barro, viento, cierres y menos horas de luz.</t>
        </is>
      </c>
      <c r="AY182" s="16" t="inlineStr">
        <is>
          <t>Revisar clima, sendero y último transporte 24–48 h antes.</t>
        </is>
      </c>
    </row>
    <row r="183" ht="66" customHeight="1">
      <c r="A183" s="16" t="inlineStr">
        <is>
          <t>JP-182</t>
        </is>
      </c>
      <c r="B183" s="16" t="inlineStr">
        <is>
          <t>Okinawa</t>
        </is>
      </c>
      <c r="C183" s="16" t="inlineStr">
        <is>
          <t>Okinawa</t>
        </is>
      </c>
      <c r="D183" s="16" t="inlineStr">
        <is>
          <t>Okinawa</t>
        </is>
      </c>
      <c r="E183" s="16" t="inlineStr">
        <is>
          <t>Kunigami</t>
        </is>
      </c>
      <c r="F183" s="16" t="inlineStr">
        <is>
          <t>Hedo</t>
        </is>
      </c>
      <c r="G183" s="16" t="inlineStr">
        <is>
          <t>Yanbaru</t>
        </is>
      </c>
      <c r="H183" s="16" t="inlineStr">
        <is>
          <t>Cape Hedo</t>
        </is>
      </c>
      <c r="I183" s="16" t="inlineStr">
        <is>
          <t>辺戸岬</t>
        </is>
      </c>
      <c r="J183" s="16" t="inlineStr">
        <is>
          <t>Cape Hedo</t>
        </is>
      </c>
      <c r="K183" s="16" t="inlineStr">
        <is>
          <t>🌅 Miradores</t>
        </is>
      </c>
      <c r="L183" s="16" t="inlineStr">
        <is>
          <t>cabo/mirador</t>
        </is>
      </c>
      <c r="M183" s="16" t="inlineStr">
        <is>
          <t>A</t>
        </is>
      </c>
      <c r="N183" s="16" t="inlineStr">
        <is>
          <t>Final geográfico de la isla principal con acantilados y dos mares.</t>
        </is>
      </c>
      <c r="O183" s="16" t="inlineStr">
        <is>
          <t>Cabo más septentrional de Okinawa con vistas abiertas.</t>
        </is>
      </c>
      <c r="P183" s="16" t="inlineStr">
        <is>
          <t>La sensación de borde y aislamiento importa más que una atracción concreta.</t>
        </is>
      </c>
      <c r="Q183" s="16" t="inlineStr">
        <is>
          <t>Cabo más septentrional de Okinawa con vistas abiertas.</t>
        </is>
      </c>
      <c r="R183" s="16" t="inlineStr">
        <is>
          <t>45–90 min</t>
        </is>
      </c>
      <c r="S183" s="16" t="inlineStr">
        <is>
          <t>Mañana</t>
        </is>
      </c>
      <c r="T183" s="16" t="inlineStr">
        <is>
          <t>Días despejados</t>
        </is>
      </c>
      <c r="U183" s="16" t="inlineStr">
        <is>
          <t>Medio</t>
        </is>
      </c>
      <c r="V183" s="16" t="inlineStr">
        <is>
          <t>Bajo</t>
        </is>
      </c>
      <c r="W183" s="89" t="n">
        <v>0</v>
      </c>
      <c r="X183" s="89" t="n">
        <v>0</v>
      </c>
      <c r="Y183" s="89">
        <f>W183*'Configuración'!$B$4</f>
        <v/>
      </c>
      <c r="Z183" s="89">
        <f>X183*'Configuración'!$B$4</f>
        <v/>
      </c>
      <c r="AA183" s="16" t="inlineStr">
        <is>
          <t>No</t>
        </is>
      </c>
      <c r="AB183" s="16" t="inlineStr">
        <is>
          <t>—</t>
        </is>
      </c>
      <c r="AC183" s="16" t="inlineStr">
        <is>
          <t>Espacio público 24 h</t>
        </is>
      </c>
      <c r="AD183" s="16" t="inlineStr">
        <is>
          <t>Clima</t>
        </is>
      </c>
      <c r="AE183" s="16" t="inlineStr">
        <is>
          <t>Auto</t>
        </is>
      </c>
      <c r="AF183" s="16" t="inlineStr">
        <is>
          <t>Buena en áreas principales; confirmar detalles con el recinto</t>
        </is>
      </c>
      <c r="AG183" s="90" t="n">
        <v>26.872</v>
      </c>
      <c r="AH183" s="90" t="n">
        <v>128.264</v>
      </c>
      <c r="AI183" s="16" t="inlineStr">
        <is>
          <t>https://visitokinawajapan.com/</t>
        </is>
      </c>
      <c r="AJ183" s="16" t="inlineStr">
        <is>
          <t>Cambiante</t>
        </is>
      </c>
      <c r="AK183" s="16" t="inlineStr">
        <is>
          <t>VIEW / NATURE</t>
        </is>
      </c>
      <c r="AL183" s="16" t="inlineStr">
        <is>
          <t>pareja, fotografía, mar</t>
        </is>
      </c>
      <c r="AM183" s="91" t="n">
        <v>5</v>
      </c>
      <c r="AN183" s="91" t="n">
        <v>4</v>
      </c>
      <c r="AO183" s="91" t="n">
        <v>4</v>
      </c>
      <c r="AP183" s="91" t="n">
        <v>1</v>
      </c>
      <c r="AQ183" s="16" t="inlineStr">
        <is>
          <t>Imagen ideal: la sensación de borde y aislamiento importa más que una atracción concreta. con luz de mañana, sin multitudes dominando el encuadre.</t>
        </is>
      </c>
      <c r="AR183" s="16" t="inlineStr">
        <is>
          <t>ASMUI Spiritual Hikes (~3 min a pie)</t>
        </is>
      </c>
      <c r="AS183" s="16" t="inlineStr">
        <is>
          <t>Lugar conocido pero excelente</t>
        </is>
      </c>
      <c r="AT183" s="16" t="str"/>
      <c r="AU183" s="16" t="inlineStr">
        <is>
          <t>https://www.google.com/maps/search/?api=1&amp;query=Cape%20Hedo%2C%20Kunigami%2C%20Japan</t>
        </is>
      </c>
      <c r="AV183" s="16" t="inlineStr">
        <is>
          <t>2026-09-01</t>
        </is>
      </c>
      <c r="AW183" s="16" t="inlineStr">
        <is>
          <t>CALENDARIO / CONDICIÓN PENDIENTE</t>
        </is>
      </c>
      <c r="AX183" s="16" t="inlineStr">
        <is>
          <t>No hay cierre específico confirmado para la ventana, pero horarios o acceso pueden variar.</t>
        </is>
      </c>
      <c r="AY183" s="16" t="inlineStr">
        <is>
          <t>Reconfirmar en la web oficial al fijar fechas.</t>
        </is>
      </c>
    </row>
    <row r="184" ht="66" customHeight="1">
      <c r="A184" s="16" t="inlineStr">
        <is>
          <t>JP-183</t>
        </is>
      </c>
      <c r="B184" s="16" t="inlineStr">
        <is>
          <t>Okinawa</t>
        </is>
      </c>
      <c r="C184" s="16" t="inlineStr">
        <is>
          <t>Okinawa</t>
        </is>
      </c>
      <c r="D184" s="16" t="inlineStr">
        <is>
          <t>Okinawa</t>
        </is>
      </c>
      <c r="E184" s="16" t="inlineStr">
        <is>
          <t>Higashi</t>
        </is>
      </c>
      <c r="F184" s="16" t="inlineStr">
        <is>
          <t>Gesashi</t>
        </is>
      </c>
      <c r="G184" s="16" t="inlineStr">
        <is>
          <t>Yanbaru</t>
        </is>
      </c>
      <c r="H184" s="16" t="inlineStr">
        <is>
          <t>Gesashi Bay Mangrove Kayak</t>
        </is>
      </c>
      <c r="I184" s="16" t="inlineStr">
        <is>
          <t>慶佐次湾のヒルギ林</t>
        </is>
      </c>
      <c r="J184" s="16" t="inlineStr">
        <is>
          <t>Gesashi Bay Mangrove Kayak</t>
        </is>
      </c>
      <c r="K184" s="16" t="inlineStr">
        <is>
          <t>🥾 Senderismo/aventura</t>
        </is>
      </c>
      <c r="L184" s="16" t="inlineStr">
        <is>
          <t>kayak/manglar</t>
        </is>
      </c>
      <c r="M184" s="16" t="inlineStr">
        <is>
          <t>A</t>
        </is>
      </c>
      <c r="N184" s="16" t="inlineStr">
        <is>
          <t>Una de las experiencias ecológicas más completas de la isla principal. Clasificación v2: excelente y muy recomendable, pero no justifica por sí sola adaptar la ruta.</t>
        </is>
      </c>
      <c r="O184" s="16" t="inlineStr">
        <is>
          <t>Remada guiada entre manglares y estuario de Yanbaru.</t>
        </is>
      </c>
      <c r="P184" s="16" t="inlineStr">
        <is>
          <t>Permite observar ecosistema intermareal a nivel del agua.</t>
        </is>
      </c>
      <c r="Q184" s="16" t="inlineStr">
        <is>
          <t>Remada guiada entre manglares y estuario de Yanbaru.</t>
        </is>
      </c>
      <c r="R184" s="16" t="inlineStr">
        <is>
          <t>2–3 h</t>
        </is>
      </c>
      <c r="S184" s="16" t="inlineStr">
        <is>
          <t>Mañana</t>
        </is>
      </c>
      <c r="T184" s="16" t="inlineStr">
        <is>
          <t>Según marea</t>
        </is>
      </c>
      <c r="U184" s="16" t="inlineStr">
        <is>
          <t>Bajo</t>
        </is>
      </c>
      <c r="V184" s="16" t="inlineStr">
        <is>
          <t>Bajo</t>
        </is>
      </c>
      <c r="W184" s="89" t="n">
        <v>5000</v>
      </c>
      <c r="X184" s="89" t="n">
        <v>9000</v>
      </c>
      <c r="Y184" s="89">
        <f>W184*'Configuración'!$B$4</f>
        <v/>
      </c>
      <c r="Z184" s="89">
        <f>X184*'Configuración'!$B$4</f>
        <v/>
      </c>
      <c r="AA184" s="16" t="inlineStr">
        <is>
          <t>Sí</t>
        </is>
      </c>
      <c r="AB184" s="16" t="inlineStr">
        <is>
          <t>Días/semanas</t>
        </is>
      </c>
      <c r="AC184" s="16" t="inlineStr">
        <is>
          <t>Según marea y operador</t>
        </is>
      </c>
      <c r="AD184" s="16" t="inlineStr">
        <is>
          <t>Clima/tifón</t>
        </is>
      </c>
      <c r="AE184" s="16" t="inlineStr">
        <is>
          <t>Auto; centro de actividades Gesashi</t>
        </is>
      </c>
      <c r="AF184" s="16" t="inlineStr">
        <is>
          <t>Buena en áreas principales; confirmar detalles con el recinto</t>
        </is>
      </c>
      <c r="AG184" s="90" t="n">
        <v>26.6036</v>
      </c>
      <c r="AH184" s="90" t="n">
        <v>128.143</v>
      </c>
      <c r="AI184" s="16" t="inlineStr">
        <is>
          <t>https://visitokinawajapan.com/</t>
        </is>
      </c>
      <c r="AJ184" s="16" t="inlineStr">
        <is>
          <t>Cambiante</t>
        </is>
      </c>
      <c r="AK184" s="16" t="inlineStr">
        <is>
          <t>HIDDEN GEM / NATURE</t>
        </is>
      </c>
      <c r="AL184" s="16" t="inlineStr">
        <is>
          <t>aventura, naturaleza, fauna</t>
        </is>
      </c>
      <c r="AM184" s="91" t="n">
        <v>5</v>
      </c>
      <c r="AN184" s="91" t="n">
        <v>5</v>
      </c>
      <c r="AO184" s="91" t="n">
        <v>4</v>
      </c>
      <c r="AP184" s="91" t="n">
        <v>1</v>
      </c>
      <c r="AQ184" s="16" t="inlineStr">
        <is>
          <t>Imagen ideal: permite observar ecosistema intermareal a nivel del agua. con luz de mañana, sin multitudes dominando el encuadre.</t>
        </is>
      </c>
      <c r="AR184" s="16" t="str"/>
      <c r="AS184" s="16" t="inlineStr">
        <is>
          <t>Hidden Gem real</t>
        </is>
      </c>
      <c r="AT184" s="16" t="str"/>
      <c r="AU184" s="16" t="inlineStr">
        <is>
          <t>https://www.google.com/maps/search/?api=1&amp;query=Gesashi%20Bay%20Mangrove%20Kayak%2C%20Higashi%2C%20Japan</t>
        </is>
      </c>
      <c r="AV184" s="16" t="inlineStr">
        <is>
          <t>2026-09-01</t>
        </is>
      </c>
      <c r="AW184" s="16" t="inlineStr">
        <is>
          <t>RIESGO ESTACIONAL</t>
        </is>
      </c>
      <c r="AX184" s="16" t="inlineStr">
        <is>
          <t>Posibles nieve, hielo, barro, viento, cierres y menos horas de luz.</t>
        </is>
      </c>
      <c r="AY184" s="16" t="inlineStr">
        <is>
          <t>Revisar clima, sendero y último transporte 24–48 h antes.</t>
        </is>
      </c>
    </row>
    <row r="185" ht="66" customHeight="1">
      <c r="A185" s="16" t="inlineStr">
        <is>
          <t>JP-184</t>
        </is>
      </c>
      <c r="B185" s="16" t="inlineStr">
        <is>
          <t>Okinawa</t>
        </is>
      </c>
      <c r="C185" s="16" t="inlineStr">
        <is>
          <t>Okinawa</t>
        </is>
      </c>
      <c r="D185" s="16" t="inlineStr">
        <is>
          <t>Okinawa</t>
        </is>
      </c>
      <c r="E185" s="16" t="inlineStr">
        <is>
          <t>Zamami</t>
        </is>
      </c>
      <c r="F185" s="16" t="inlineStr">
        <is>
          <t>Zamami</t>
        </is>
      </c>
      <c r="G185" s="16" t="inlineStr">
        <is>
          <t>Kerama</t>
        </is>
      </c>
      <c r="H185" s="16" t="inlineStr">
        <is>
          <t>Zamami Island</t>
        </is>
      </c>
      <c r="I185" s="16" t="inlineStr">
        <is>
          <t>座間味島</t>
        </is>
      </c>
      <c r="J185" s="16" t="inlineStr">
        <is>
          <t>Zamami Island</t>
        </is>
      </c>
      <c r="K185" s="16" t="inlineStr">
        <is>
          <t>🌊 Playa/mar/islas</t>
        </is>
      </c>
      <c r="L185" s="16" t="inlineStr">
        <is>
          <t>isla</t>
        </is>
      </c>
      <c r="M185" s="16" t="inlineStr">
        <is>
          <t>S</t>
        </is>
      </c>
      <c r="N185" s="16" t="inlineStr">
        <is>
          <t>Aguas Kerama Blue, arrecife y posibilidad real de dormir en una isla pequeña.</t>
        </is>
      </c>
      <c r="O185" s="16" t="inlineStr">
        <is>
          <t>Isla principal de Kerama con playas, miradores y ballenas estacionales.</t>
        </is>
      </c>
      <c r="P185" s="16" t="inlineStr">
        <is>
          <t>Calidad marina muy superior a muchas playas de la isla principal.</t>
        </is>
      </c>
      <c r="Q185" s="16" t="inlineStr">
        <is>
          <t>Isla principal de Kerama con playas, miradores y ballenas estacionales.</t>
        </is>
      </c>
      <c r="R185" s="16" t="inlineStr">
        <is>
          <t>Día completo–2 noches</t>
        </is>
      </c>
      <c r="S185" s="16" t="inlineStr">
        <is>
          <t>Mañana</t>
        </is>
      </c>
      <c r="T185" s="16" t="inlineStr">
        <is>
          <t>Mar estable; ballenas ene–mar</t>
        </is>
      </c>
      <c r="U185" s="16" t="inlineStr">
        <is>
          <t>Alto</t>
        </is>
      </c>
      <c r="V185" s="16" t="inlineStr">
        <is>
          <t>Medio</t>
        </is>
      </c>
      <c r="W185" s="89" t="n">
        <v>3200</v>
      </c>
      <c r="X185" s="89" t="n">
        <v>6400</v>
      </c>
      <c r="Y185" s="89">
        <f>W185*'Configuración'!$B$4</f>
        <v/>
      </c>
      <c r="Z185" s="89">
        <f>X185*'Configuración'!$B$4</f>
        <v/>
      </c>
      <c r="AA185" s="16" t="inlineStr">
        <is>
          <t>Sí</t>
        </is>
      </c>
      <c r="AB185" s="16" t="inlineStr">
        <is>
          <t>Ferry y alojamiento con semanas</t>
        </is>
      </c>
      <c r="AC185" s="16" t="inlineStr">
        <is>
          <t>Ferries variables</t>
        </is>
      </c>
      <c r="AD185" s="16" t="inlineStr">
        <is>
          <t>Mal tiempo/tifones</t>
        </is>
      </c>
      <c r="AE185" s="16" t="inlineStr">
        <is>
          <t>Ferry desde Tomari, Naha</t>
        </is>
      </c>
      <c r="AF185" s="16" t="inlineStr">
        <is>
          <t>Parcial o baja; terreno irregular y condiciones naturales</t>
        </is>
      </c>
      <c r="AG185" s="90" t="n">
        <v>26.2289</v>
      </c>
      <c r="AH185" s="90" t="n">
        <v>127.3032</v>
      </c>
      <c r="AI185" s="16" t="inlineStr">
        <is>
          <t>https://visitokinawajapan.com/destinations/kerama-islands/zamami-island/</t>
        </is>
      </c>
      <c r="AJ185" s="16" t="inlineStr">
        <is>
          <t>Cambiante</t>
        </is>
      </c>
      <c r="AK185" s="16" t="inlineStr">
        <is>
          <t>MUST SEE / ISLAND</t>
        </is>
      </c>
      <c r="AL185" s="16" t="inlineStr">
        <is>
          <t>pareja, playa, snorkel, naturaleza</t>
        </is>
      </c>
      <c r="AM185" s="91" t="n">
        <v>5</v>
      </c>
      <c r="AN185" s="91" t="n">
        <v>5</v>
      </c>
      <c r="AO185" s="91" t="n">
        <v>3</v>
      </c>
      <c r="AP185" s="91" t="n">
        <v>3</v>
      </c>
      <c r="AQ185" s="16" t="inlineStr">
        <is>
          <t>Imagen ideal: calidad marina muy superior a muchas playas de la isla principal. con luz de mañana, sin multitudes dominando el encuadre.</t>
        </is>
      </c>
      <c r="AR185" s="16" t="inlineStr">
        <is>
          <t>Furuzamami Beach (~14 min a pie) | Aka Island (~54 min en transporte)</t>
        </is>
      </c>
      <c r="AS185" s="16" t="inlineStr">
        <is>
          <t>Lugar conocido pero excelente</t>
        </is>
      </c>
      <c r="AT185" s="16" t="str"/>
      <c r="AU185" s="16" t="inlineStr">
        <is>
          <t>https://www.google.com/maps/search/?api=1&amp;query=Zamami%20Island%2C%20Zamami%2C%20Japan</t>
        </is>
      </c>
      <c r="AV185" s="16" t="inlineStr">
        <is>
          <t>2026-09-01</t>
        </is>
      </c>
      <c r="AW185" s="16" t="inlineStr">
        <is>
          <t>VARIABLE POR MAR</t>
        </is>
      </c>
      <c r="AX185" s="16" t="inlineStr">
        <is>
          <t>Agua más fresca, viento y servicios de playa reducidos; ferries/tours pueden cancelarse.</t>
        </is>
      </c>
      <c r="AY185" s="16" t="inlineStr">
        <is>
          <t>Revisar oleaje, bandera y transporte 24–48 h antes; valorar neopreno.</t>
        </is>
      </c>
    </row>
    <row r="186" ht="66" customHeight="1">
      <c r="A186" s="16" t="inlineStr">
        <is>
          <t>JP-185</t>
        </is>
      </c>
      <c r="B186" s="16" t="inlineStr">
        <is>
          <t>Okinawa</t>
        </is>
      </c>
      <c r="C186" s="16" t="inlineStr">
        <is>
          <t>Okinawa</t>
        </is>
      </c>
      <c r="D186" s="16" t="inlineStr">
        <is>
          <t>Okinawa</t>
        </is>
      </c>
      <c r="E186" s="16" t="inlineStr">
        <is>
          <t>Zamami</t>
        </is>
      </c>
      <c r="F186" s="16" t="inlineStr">
        <is>
          <t>Zamami</t>
        </is>
      </c>
      <c r="G186" s="16" t="inlineStr">
        <is>
          <t>Kerama</t>
        </is>
      </c>
      <c r="H186" s="16" t="inlineStr">
        <is>
          <t>Furuzamami Beach</t>
        </is>
      </c>
      <c r="I186" s="16" t="inlineStr">
        <is>
          <t>古座間味ビーチ</t>
        </is>
      </c>
      <c r="J186" s="16" t="inlineStr">
        <is>
          <t>Furuzamami Beach</t>
        </is>
      </c>
      <c r="K186" s="16" t="inlineStr">
        <is>
          <t>🌊 Playa/mar/islas</t>
        </is>
      </c>
      <c r="L186" s="16" t="inlineStr">
        <is>
          <t>playa/snorkel</t>
        </is>
      </c>
      <c r="M186" s="16" t="inlineStr">
        <is>
          <t>A</t>
        </is>
      </c>
      <c r="N186" s="16" t="inlineStr">
        <is>
          <t>Arrecife accesible, arena blanca y color de agua de primer nivel. Clasificación v2: excelente y muy recomendable, pero no justifica por sí sola adaptar la ruta.</t>
        </is>
      </c>
      <c r="O186" s="16" t="inlineStr">
        <is>
          <t>Playa en Zamami con snorkel desde la costa.</t>
        </is>
      </c>
      <c r="P186" s="16" t="inlineStr">
        <is>
          <t>La vida coralina comienza cerca de la playa.</t>
        </is>
      </c>
      <c r="Q186" s="16" t="inlineStr">
        <is>
          <t>Playa en Zamami con snorkel desde la costa.</t>
        </is>
      </c>
      <c r="R186" s="16" t="inlineStr">
        <is>
          <t>3–5 h</t>
        </is>
      </c>
      <c r="S186" s="16" t="inlineStr">
        <is>
          <t>Mañana</t>
        </is>
      </c>
      <c r="T186" s="16" t="inlineStr">
        <is>
          <t>Mar calmado</t>
        </is>
      </c>
      <c r="U186" s="16" t="inlineStr">
        <is>
          <t>Alto</t>
        </is>
      </c>
      <c r="V186" s="16" t="inlineStr">
        <is>
          <t>Medio</t>
        </is>
      </c>
      <c r="W186" s="89" t="n">
        <v>0</v>
      </c>
      <c r="X186" s="89" t="n">
        <v>3000</v>
      </c>
      <c r="Y186" s="89">
        <f>W186*'Configuración'!$B$4</f>
        <v/>
      </c>
      <c r="Z186" s="89">
        <f>X186*'Configuración'!$B$4</f>
        <v/>
      </c>
      <c r="AA186" s="16" t="inlineStr">
        <is>
          <t>No</t>
        </is>
      </c>
      <c r="AB186" s="16" t="inlineStr">
        <is>
          <t>—</t>
        </is>
      </c>
      <c r="AC186" s="16" t="inlineStr">
        <is>
          <t>Servicios estacionales</t>
        </is>
      </c>
      <c r="AD186" s="16" t="inlineStr">
        <is>
          <t>Oleaje/tifones</t>
        </is>
      </c>
      <c r="AE186" s="16" t="inlineStr">
        <is>
          <t>Bus/bici desde Zamami Port</t>
        </is>
      </c>
      <c r="AF186" s="16" t="inlineStr">
        <is>
          <t>Parcial o baja; terreno irregular y condiciones naturales</t>
        </is>
      </c>
      <c r="AG186" s="90" t="n">
        <v>26.22</v>
      </c>
      <c r="AH186" s="90" t="n">
        <v>127.3004</v>
      </c>
      <c r="AI186" s="16" t="inlineStr">
        <is>
          <t>https://visitokinawajapan.com/</t>
        </is>
      </c>
      <c r="AJ186" s="16" t="inlineStr">
        <is>
          <t>Cambiante</t>
        </is>
      </c>
      <c r="AK186" s="16" t="inlineStr">
        <is>
          <t>BEACH</t>
        </is>
      </c>
      <c r="AL186" s="16" t="inlineStr">
        <is>
          <t>pareja, playa, snorkel, fotografía</t>
        </is>
      </c>
      <c r="AM186" s="91" t="n">
        <v>5</v>
      </c>
      <c r="AN186" s="91" t="n">
        <v>4</v>
      </c>
      <c r="AO186" s="91" t="n">
        <v>4</v>
      </c>
      <c r="AP186" s="91" t="n">
        <v>3</v>
      </c>
      <c r="AQ186" s="16" t="inlineStr">
        <is>
          <t>Imagen ideal: la vida coralina comienza cerca de la playa. con luz de mañana, sin multitudes dominando el encuadre.</t>
        </is>
      </c>
      <c r="AR186" s="16" t="inlineStr">
        <is>
          <t>Zamami Island (~14 min a pie) | Aka Island (~40 min en transporte)</t>
        </is>
      </c>
      <c r="AS186" s="16" t="inlineStr">
        <is>
          <t>Lugar conocido pero excelente</t>
        </is>
      </c>
      <c r="AT186" s="16" t="str"/>
      <c r="AU186" s="16" t="inlineStr">
        <is>
          <t>https://www.google.com/maps/search/?api=1&amp;query=Furuzamami%20Beach%2C%20Zamami%2C%20Japan</t>
        </is>
      </c>
      <c r="AV186" s="16" t="inlineStr">
        <is>
          <t>2026-09-01</t>
        </is>
      </c>
      <c r="AW186" s="16" t="inlineStr">
        <is>
          <t>VARIABLE POR MAR</t>
        </is>
      </c>
      <c r="AX186" s="16" t="inlineStr">
        <is>
          <t>Agua más fresca, viento y servicios de playa reducidos; ferries/tours pueden cancelarse.</t>
        </is>
      </c>
      <c r="AY186" s="16" t="inlineStr">
        <is>
          <t>Revisar oleaje, bandera y transporte 24–48 h antes; valorar neopreno.</t>
        </is>
      </c>
    </row>
    <row r="187" ht="66" customHeight="1">
      <c r="A187" s="16" t="inlineStr">
        <is>
          <t>JP-186</t>
        </is>
      </c>
      <c r="B187" s="16" t="inlineStr">
        <is>
          <t>Okinawa</t>
        </is>
      </c>
      <c r="C187" s="16" t="inlineStr">
        <is>
          <t>Okinawa</t>
        </is>
      </c>
      <c r="D187" s="16" t="inlineStr">
        <is>
          <t>Okinawa</t>
        </is>
      </c>
      <c r="E187" s="16" t="inlineStr">
        <is>
          <t>Zamami</t>
        </is>
      </c>
      <c r="F187" s="16" t="inlineStr">
        <is>
          <t>Aka</t>
        </is>
      </c>
      <c r="G187" s="16" t="inlineStr">
        <is>
          <t>Kerama</t>
        </is>
      </c>
      <c r="H187" s="16" t="inlineStr">
        <is>
          <t>Aka Island</t>
        </is>
      </c>
      <c r="I187" s="16" t="inlineStr">
        <is>
          <t>阿嘉島</t>
        </is>
      </c>
      <c r="J187" s="16" t="inlineStr">
        <is>
          <t>Aka Island</t>
        </is>
      </c>
      <c r="K187" s="16" t="inlineStr">
        <is>
          <t>🌊 Playa/mar/islas</t>
        </is>
      </c>
      <c r="L187" s="16" t="inlineStr">
        <is>
          <t>isla</t>
        </is>
      </c>
      <c r="M187" s="16" t="inlineStr">
        <is>
          <t>A</t>
        </is>
      </c>
      <c r="N187" s="16" t="inlineStr">
        <is>
          <t>Más tranquila que Zamami y excelente para tortugas, bicicleta y ritmo local. Clasificación v2: excelente y muy recomendable, pero no justifica por sí sola adaptar la ruta.</t>
        </is>
      </c>
      <c r="O187" s="16" t="inlineStr">
        <is>
          <t>Isla pequeña conectada a Geruma, con playas y ciervo Kerama.</t>
        </is>
      </c>
      <c r="P187" s="16" t="inlineStr">
        <is>
          <t>Menor infraestructura filtra excursiones rápidas.</t>
        </is>
      </c>
      <c r="Q187" s="16" t="inlineStr">
        <is>
          <t>Isla pequeña conectada a Geruma, con playas y ciervo Kerama.</t>
        </is>
      </c>
      <c r="R187" s="16" t="inlineStr">
        <is>
          <t>1–2 días</t>
        </is>
      </c>
      <c r="S187" s="16" t="inlineStr">
        <is>
          <t>Mañana</t>
        </is>
      </c>
      <c r="T187" s="16" t="inlineStr">
        <is>
          <t>Primavera–otoño; mar estable</t>
        </is>
      </c>
      <c r="U187" s="16" t="inlineStr">
        <is>
          <t>Bajo</t>
        </is>
      </c>
      <c r="V187" s="16" t="inlineStr">
        <is>
          <t>Bajo</t>
        </is>
      </c>
      <c r="W187" s="89" t="n">
        <v>3200</v>
      </c>
      <c r="X187" s="89" t="n">
        <v>6400</v>
      </c>
      <c r="Y187" s="89">
        <f>W187*'Configuración'!$B$4</f>
        <v/>
      </c>
      <c r="Z187" s="89">
        <f>X187*'Configuración'!$B$4</f>
        <v/>
      </c>
      <c r="AA187" s="16" t="inlineStr">
        <is>
          <t>Sí</t>
        </is>
      </c>
      <c r="AB187" s="16" t="inlineStr">
        <is>
          <t>Ferry/alojamiento semanas</t>
        </is>
      </c>
      <c r="AC187" s="16" t="inlineStr">
        <is>
          <t>Ferries variables</t>
        </is>
      </c>
      <c r="AD187" s="16" t="inlineStr">
        <is>
          <t>Mal tiempo/tifones</t>
        </is>
      </c>
      <c r="AE187" s="16" t="inlineStr">
        <is>
          <t>Ferry desde Tomari</t>
        </is>
      </c>
      <c r="AF187" s="16" t="inlineStr">
        <is>
          <t>Parcial o baja; terreno irregular y condiciones naturales</t>
        </is>
      </c>
      <c r="AG187" s="90" t="n">
        <v>26.2006</v>
      </c>
      <c r="AH187" s="90" t="n">
        <v>127.2813</v>
      </c>
      <c r="AI187" s="16" t="inlineStr">
        <is>
          <t>https://visitokinawajapan.com/destinations/kerama-islands/aka-island/</t>
        </is>
      </c>
      <c r="AJ187" s="16" t="inlineStr">
        <is>
          <t>Cambiante</t>
        </is>
      </c>
      <c r="AK187" s="16" t="inlineStr">
        <is>
          <t>HIDDEN GEM / ISLAND</t>
        </is>
      </c>
      <c r="AL187" s="16" t="inlineStr">
        <is>
          <t>pareja, snorkel, bicicleta, naturaleza</t>
        </is>
      </c>
      <c r="AM187" s="91" t="n">
        <v>5</v>
      </c>
      <c r="AN187" s="91" t="n">
        <v>5</v>
      </c>
      <c r="AO187" s="91" t="n">
        <v>3</v>
      </c>
      <c r="AP187" s="91" t="n">
        <v>1</v>
      </c>
      <c r="AQ187" s="16" t="inlineStr">
        <is>
          <t>Imagen ideal: menor infraestructura filtra excursiones rápidas. con luz de mañana, sin multitudes dominando el encuadre.</t>
        </is>
      </c>
      <c r="AR187" s="16" t="inlineStr">
        <is>
          <t>Furuzamami Beach (~40 min en transporte) | Zamami Island (~54 min en transporte)</t>
        </is>
      </c>
      <c r="AS187" s="16" t="inlineStr">
        <is>
          <t>Hidden Gem real</t>
        </is>
      </c>
      <c r="AT187" s="16" t="str"/>
      <c r="AU187" s="16" t="inlineStr">
        <is>
          <t>https://www.google.com/maps/search/?api=1&amp;query=Aka%20Island%2C%20Zamami%2C%20Japan</t>
        </is>
      </c>
      <c r="AV187" s="16" t="inlineStr">
        <is>
          <t>2026-09-01</t>
        </is>
      </c>
      <c r="AW187" s="16" t="inlineStr">
        <is>
          <t>VARIABLE POR MAR</t>
        </is>
      </c>
      <c r="AX187" s="16" t="inlineStr">
        <is>
          <t>Agua más fresca, viento y servicios de playa reducidos; ferries/tours pueden cancelarse.</t>
        </is>
      </c>
      <c r="AY187" s="16" t="inlineStr">
        <is>
          <t>Revisar oleaje, bandera y transporte 24–48 h antes; valorar neopreno.</t>
        </is>
      </c>
    </row>
    <row r="188" ht="66" customHeight="1">
      <c r="A188" s="16" t="inlineStr">
        <is>
          <t>JP-187</t>
        </is>
      </c>
      <c r="B188" s="16" t="inlineStr">
        <is>
          <t>Okinawa</t>
        </is>
      </c>
      <c r="C188" s="16" t="inlineStr">
        <is>
          <t>Okinawa</t>
        </is>
      </c>
      <c r="D188" s="16" t="inlineStr">
        <is>
          <t>Okinawa</t>
        </is>
      </c>
      <c r="E188" s="16" t="inlineStr">
        <is>
          <t>Tokashiki</t>
        </is>
      </c>
      <c r="F188" s="16" t="inlineStr">
        <is>
          <t>Tokashiki</t>
        </is>
      </c>
      <c r="G188" s="16" t="inlineStr">
        <is>
          <t>Kerama</t>
        </is>
      </c>
      <c r="H188" s="16" t="inlineStr">
        <is>
          <t>Aharen Beach</t>
        </is>
      </c>
      <c r="I188" s="16" t="inlineStr">
        <is>
          <t>阿波連ビーチ</t>
        </is>
      </c>
      <c r="J188" s="16" t="inlineStr">
        <is>
          <t>Aharen Beach</t>
        </is>
      </c>
      <c r="K188" s="16" t="inlineStr">
        <is>
          <t>🌊 Playa/mar/islas</t>
        </is>
      </c>
      <c r="L188" s="16" t="inlineStr">
        <is>
          <t>playa</t>
        </is>
      </c>
      <c r="M188" s="16" t="inlineStr">
        <is>
          <t>A</t>
        </is>
      </c>
      <c r="N188" s="16" t="inlineStr">
        <is>
          <t>Playa amplia y accesible para una excursión marina desde Naha.</t>
        </is>
      </c>
      <c r="O188" s="16" t="inlineStr">
        <is>
          <t>Bahía de arena blanca en Tokashiki con servicios y tours.</t>
        </is>
      </c>
      <c r="P188" s="16" t="inlineStr">
        <is>
          <t>Más sencilla logísticamente que islas remotas, aunque más visitada.</t>
        </is>
      </c>
      <c r="Q188" s="16" t="inlineStr">
        <is>
          <t>Bahía de arena blanca en Tokashiki con servicios y tours.</t>
        </is>
      </c>
      <c r="R188" s="16" t="inlineStr">
        <is>
          <t>Día completo</t>
        </is>
      </c>
      <c r="S188" s="16" t="inlineStr">
        <is>
          <t>Mañana</t>
        </is>
      </c>
      <c r="T188" s="16" t="inlineStr">
        <is>
          <t>Mar estable</t>
        </is>
      </c>
      <c r="U188" s="16" t="inlineStr">
        <is>
          <t>Alto</t>
        </is>
      </c>
      <c r="V188" s="16" t="inlineStr">
        <is>
          <t>Alto</t>
        </is>
      </c>
      <c r="W188" s="89" t="n">
        <v>3200</v>
      </c>
      <c r="X188" s="89" t="n">
        <v>8000</v>
      </c>
      <c r="Y188" s="89">
        <f>W188*'Configuración'!$B$4</f>
        <v/>
      </c>
      <c r="Z188" s="89">
        <f>X188*'Configuración'!$B$4</f>
        <v/>
      </c>
      <c r="AA188" s="16" t="inlineStr">
        <is>
          <t>Sí</t>
        </is>
      </c>
      <c r="AB188" s="16" t="inlineStr">
        <is>
          <t>Ferry/tour semanas</t>
        </is>
      </c>
      <c r="AC188" s="16" t="inlineStr">
        <is>
          <t>Ferries variables</t>
        </is>
      </c>
      <c r="AD188" s="16" t="inlineStr">
        <is>
          <t>Mal tiempo/tifones</t>
        </is>
      </c>
      <c r="AE188" s="16" t="inlineStr">
        <is>
          <t>Ferry Tomari + bus</t>
        </is>
      </c>
      <c r="AF188" s="16" t="inlineStr">
        <is>
          <t>Parcial o baja; terreno irregular y condiciones naturales</t>
        </is>
      </c>
      <c r="AG188" s="90" t="n">
        <v>26.1723</v>
      </c>
      <c r="AH188" s="90" t="n">
        <v>127.3441</v>
      </c>
      <c r="AI188" s="16" t="inlineStr">
        <is>
          <t>https://visitokinawajapan.com/destinations/kerama-islands/tokashiki-island/</t>
        </is>
      </c>
      <c r="AJ188" s="16" t="inlineStr">
        <is>
          <t>Cambiante</t>
        </is>
      </c>
      <c r="AK188" s="16" t="inlineStr">
        <is>
          <t>DAY TRIP / BEACH</t>
        </is>
      </c>
      <c r="AL188" s="16" t="inlineStr">
        <is>
          <t>pareja, playa, snorkel</t>
        </is>
      </c>
      <c r="AM188" s="91" t="n">
        <v>5</v>
      </c>
      <c r="AN188" s="91" t="n">
        <v>4</v>
      </c>
      <c r="AO188" s="91" t="n">
        <v>4</v>
      </c>
      <c r="AP188" s="91" t="n">
        <v>4</v>
      </c>
      <c r="AQ188" s="16" t="inlineStr">
        <is>
          <t>Imagen ideal: más sencilla logísticamente que islas remotas, aunque más visitada. con luz de mañana, sin multitudes dominando el encuadre.</t>
        </is>
      </c>
      <c r="AR188" s="16" t="str"/>
      <c r="AS188" s="16" t="inlineStr">
        <is>
          <t>Popular / turístico</t>
        </is>
      </c>
      <c r="AT188" s="16" t="str"/>
      <c r="AU188" s="16" t="inlineStr">
        <is>
          <t>https://www.google.com/maps/search/?api=1&amp;query=Aharen%20Beach%2C%20Tokashiki%2C%20Japan</t>
        </is>
      </c>
      <c r="AV188" s="16" t="inlineStr">
        <is>
          <t>2026-09-01</t>
        </is>
      </c>
      <c r="AW188" s="16" t="inlineStr">
        <is>
          <t>VARIABLE POR MAR</t>
        </is>
      </c>
      <c r="AX188" s="16" t="inlineStr">
        <is>
          <t>Agua más fresca, viento y servicios de playa reducidos; ferries/tours pueden cancelarse.</t>
        </is>
      </c>
      <c r="AY188" s="16" t="inlineStr">
        <is>
          <t>Revisar oleaje, bandera y transporte 24–48 h antes; valorar neopreno.</t>
        </is>
      </c>
    </row>
    <row r="189" ht="66" customHeight="1">
      <c r="A189" s="16" t="inlineStr">
        <is>
          <t>JP-188</t>
        </is>
      </c>
      <c r="B189" s="16" t="inlineStr">
        <is>
          <t>Okinawa</t>
        </is>
      </c>
      <c r="C189" s="16" t="inlineStr">
        <is>
          <t>Okinawa</t>
        </is>
      </c>
      <c r="D189" s="16" t="inlineStr">
        <is>
          <t>Okinawa</t>
        </is>
      </c>
      <c r="E189" s="16" t="inlineStr">
        <is>
          <t>Miyakojima</t>
        </is>
      </c>
      <c r="F189" s="16" t="inlineStr">
        <is>
          <t>Miyako</t>
        </is>
      </c>
      <c r="G189" s="16" t="inlineStr">
        <is>
          <t>Miyako Islands</t>
        </is>
      </c>
      <c r="H189" s="16" t="inlineStr">
        <is>
          <t>Yonaha Maehama Beach</t>
        </is>
      </c>
      <c r="I189" s="16" t="inlineStr">
        <is>
          <t>与那覇前浜ビーチ</t>
        </is>
      </c>
      <c r="J189" s="16" t="inlineStr">
        <is>
          <t>Yonaha Maehama Beach</t>
        </is>
      </c>
      <c r="K189" s="16" t="inlineStr">
        <is>
          <t>🌊 Playa/mar/islas</t>
        </is>
      </c>
      <c r="L189" s="16" t="inlineStr">
        <is>
          <t>playa</t>
        </is>
      </c>
      <c r="M189" s="16" t="inlineStr">
        <is>
          <t>S</t>
        </is>
      </c>
      <c r="N189" s="16" t="inlineStr">
        <is>
          <t>Arena y agua de calidad excepcional; una de las playas definitorias de Japón.</t>
        </is>
      </c>
      <c r="O189" s="16" t="inlineStr">
        <is>
          <t>Siete kilómetros de arena blanca frente a Kurima Island.</t>
        </is>
      </c>
      <c r="P189" s="16" t="inlineStr">
        <is>
          <t>Horizonte limpio y gradiente Miyako Blue sin arrecife pegado a costa.</t>
        </is>
      </c>
      <c r="Q189" s="16" t="inlineStr">
        <is>
          <t>Siete kilómetros de arena blanca frente a Kurima Island.</t>
        </is>
      </c>
      <c r="R189" s="16" t="inlineStr">
        <is>
          <t>Medio día</t>
        </is>
      </c>
      <c r="S189" s="16" t="inlineStr">
        <is>
          <t>Mañana</t>
        </is>
      </c>
      <c r="T189" s="16" t="inlineStr">
        <is>
          <t>Abr–oct; mar estable</t>
        </is>
      </c>
      <c r="U189" s="16" t="inlineStr">
        <is>
          <t>Alto</t>
        </is>
      </c>
      <c r="V189" s="16" t="inlineStr">
        <is>
          <t>Alto</t>
        </is>
      </c>
      <c r="W189" s="89" t="n">
        <v>0</v>
      </c>
      <c r="X189" s="89" t="n">
        <v>3000</v>
      </c>
      <c r="Y189" s="89">
        <f>W189*'Configuración'!$B$4</f>
        <v/>
      </c>
      <c r="Z189" s="89">
        <f>X189*'Configuración'!$B$4</f>
        <v/>
      </c>
      <c r="AA189" s="16" t="inlineStr">
        <is>
          <t>No</t>
        </is>
      </c>
      <c r="AB189" s="16" t="inlineStr">
        <is>
          <t>—</t>
        </is>
      </c>
      <c r="AC189" s="16" t="inlineStr">
        <is>
          <t>Playa abierta; servicios estacionales</t>
        </is>
      </c>
      <c r="AD189" s="16" t="inlineStr">
        <is>
          <t>Tifones/oleaje</t>
        </is>
      </c>
      <c r="AE189" s="16" t="inlineStr">
        <is>
          <t>Auto</t>
        </is>
      </c>
      <c r="AF189" s="16" t="inlineStr">
        <is>
          <t>Parcial o baja; terreno irregular y condiciones naturales</t>
        </is>
      </c>
      <c r="AG189" s="90" t="n">
        <v>24.7354</v>
      </c>
      <c r="AH189" s="90" t="n">
        <v>125.2638</v>
      </c>
      <c r="AI189" s="16" t="inlineStr">
        <is>
          <t>https://visitokinawajapan.com/destinations/miyako-islands/miyako-island/</t>
        </is>
      </c>
      <c r="AJ189" s="16" t="inlineStr">
        <is>
          <t>Cambiante</t>
        </is>
      </c>
      <c r="AK189" s="16" t="inlineStr">
        <is>
          <t>MUST SEE / BEACH</t>
        </is>
      </c>
      <c r="AL189" s="16" t="inlineStr">
        <is>
          <t>pareja, playa, fotografía</t>
        </is>
      </c>
      <c r="AM189" s="91" t="n">
        <v>5</v>
      </c>
      <c r="AN189" s="91" t="n">
        <v>4</v>
      </c>
      <c r="AO189" s="91" t="n">
        <v>5</v>
      </c>
      <c r="AP189" s="91" t="n">
        <v>4</v>
      </c>
      <c r="AQ189" s="16" t="inlineStr">
        <is>
          <t>Imagen ideal: horizonte limpio y gradiente miyako blue sin arrecife pegado a costa. con luz de mañana, sin multitudes dominando el encuadre.</t>
        </is>
      </c>
      <c r="AR189" s="16" t="str"/>
      <c r="AS189" s="16" t="inlineStr">
        <is>
          <t>Popular / turístico</t>
        </is>
      </c>
      <c r="AT189" s="16" t="str"/>
      <c r="AU189" s="16" t="inlineStr">
        <is>
          <t>https://www.google.com/maps/search/?api=1&amp;query=Yonaha%20Maehama%20Beach%2C%20Miyakojima%2C%20Japan</t>
        </is>
      </c>
      <c r="AV189" s="16" t="inlineStr">
        <is>
          <t>2026-09-01</t>
        </is>
      </c>
      <c r="AW189" s="16" t="inlineStr">
        <is>
          <t>VARIABLE POR MAR</t>
        </is>
      </c>
      <c r="AX189" s="16" t="inlineStr">
        <is>
          <t>Agua más fresca, viento y servicios de playa reducidos; ferries/tours pueden cancelarse.</t>
        </is>
      </c>
      <c r="AY189" s="16" t="inlineStr">
        <is>
          <t>Revisar oleaje, bandera y transporte 24–48 h antes; valorar neopreno.</t>
        </is>
      </c>
    </row>
    <row r="190" ht="66" customHeight="1">
      <c r="A190" s="16" t="inlineStr">
        <is>
          <t>JP-189</t>
        </is>
      </c>
      <c r="B190" s="16" t="inlineStr">
        <is>
          <t>Okinawa</t>
        </is>
      </c>
      <c r="C190" s="16" t="inlineStr">
        <is>
          <t>Okinawa</t>
        </is>
      </c>
      <c r="D190" s="16" t="inlineStr">
        <is>
          <t>Okinawa</t>
        </is>
      </c>
      <c r="E190" s="16" t="inlineStr">
        <is>
          <t>Miyakojima</t>
        </is>
      </c>
      <c r="F190" s="16" t="inlineStr">
        <is>
          <t>Irabu</t>
        </is>
      </c>
      <c r="G190" s="16" t="inlineStr">
        <is>
          <t>Miyako Islands</t>
        </is>
      </c>
      <c r="H190" s="16" t="inlineStr">
        <is>
          <t>Irabu Bridge</t>
        </is>
      </c>
      <c r="I190" s="16" t="inlineStr">
        <is>
          <t>伊良部大橋</t>
        </is>
      </c>
      <c r="J190" s="16" t="inlineStr">
        <is>
          <t>Irabu Bridge</t>
        </is>
      </c>
      <c r="K190" s="16" t="inlineStr">
        <is>
          <t>🌅 Miradores</t>
        </is>
      </c>
      <c r="L190" s="16" t="inlineStr">
        <is>
          <t>puente/drive</t>
        </is>
      </c>
      <c r="M190" s="16" t="inlineStr">
        <is>
          <t>A</t>
        </is>
      </c>
      <c r="N190" s="16" t="inlineStr">
        <is>
          <t>El cruce de 3.5 km sobre agua turquesa es una experiencia visual en sí.</t>
        </is>
      </c>
      <c r="O190" s="16" t="inlineStr">
        <is>
          <t>Puente gratuito entre Miyako e Irabu.</t>
        </is>
      </c>
      <c r="P190" s="16" t="inlineStr">
        <is>
          <t>La longitud crea una sensación de navegar sobre el mar.</t>
        </is>
      </c>
      <c r="Q190" s="16" t="inlineStr">
        <is>
          <t>Puente gratuito entre Miyako e Irabu.</t>
        </is>
      </c>
      <c r="R190" s="16" t="inlineStr">
        <is>
          <t>30–60 min más paradas</t>
        </is>
      </c>
      <c r="S190" s="16" t="inlineStr">
        <is>
          <t>Mañana</t>
        </is>
      </c>
      <c r="T190" s="16" t="inlineStr">
        <is>
          <t>Días despejados</t>
        </is>
      </c>
      <c r="U190" s="16" t="inlineStr">
        <is>
          <t>Alto</t>
        </is>
      </c>
      <c r="V190" s="16" t="inlineStr">
        <is>
          <t>Alto</t>
        </is>
      </c>
      <c r="W190" s="89" t="n">
        <v>0</v>
      </c>
      <c r="X190" s="89" t="n">
        <v>0</v>
      </c>
      <c r="Y190" s="89">
        <f>W190*'Configuración'!$B$4</f>
        <v/>
      </c>
      <c r="Z190" s="89">
        <f>X190*'Configuración'!$B$4</f>
        <v/>
      </c>
      <c r="AA190" s="16" t="inlineStr">
        <is>
          <t>No</t>
        </is>
      </c>
      <c r="AB190" s="16" t="inlineStr">
        <is>
          <t>—</t>
        </is>
      </c>
      <c r="AC190" s="16" t="inlineStr">
        <is>
          <t>Abierto 24 h; puede cerrar por viento</t>
        </is>
      </c>
      <c r="AD190" s="16" t="inlineStr">
        <is>
          <t>Tifones/viento</t>
        </is>
      </c>
      <c r="AE190" s="16" t="inlineStr">
        <is>
          <t>Auto</t>
        </is>
      </c>
      <c r="AF190" s="16" t="inlineStr">
        <is>
          <t>Buena en áreas principales; confirmar detalles con el recinto</t>
        </is>
      </c>
      <c r="AG190" s="90" t="n">
        <v>24.8065</v>
      </c>
      <c r="AH190" s="90" t="n">
        <v>125.2185</v>
      </c>
      <c r="AI190" s="16" t="inlineStr">
        <is>
          <t>https://visitokinawajapan.com/</t>
        </is>
      </c>
      <c r="AJ190" s="16" t="inlineStr">
        <is>
          <t>Cambiante</t>
        </is>
      </c>
      <c r="AK190" s="16" t="inlineStr">
        <is>
          <t>SEA VIEW</t>
        </is>
      </c>
      <c r="AL190" s="16" t="inlineStr">
        <is>
          <t>pareja, fotografía, drive</t>
        </is>
      </c>
      <c r="AM190" s="91" t="n">
        <v>5</v>
      </c>
      <c r="AN190" s="91" t="n">
        <v>4</v>
      </c>
      <c r="AO190" s="91" t="n">
        <v>5</v>
      </c>
      <c r="AP190" s="91" t="n">
        <v>4</v>
      </c>
      <c r="AQ190" s="16" t="inlineStr">
        <is>
          <t>Imagen ideal: la longitud crea una sensación de navegar sobre el mar. con luz de mañana, sin multitudes dominando el encuadre.</t>
        </is>
      </c>
      <c r="AR190" s="16" t="str"/>
      <c r="AS190" s="16" t="inlineStr">
        <is>
          <t>Popular / turístico</t>
        </is>
      </c>
      <c r="AT190" s="16" t="str"/>
      <c r="AU190" s="16" t="inlineStr">
        <is>
          <t>https://www.google.com/maps/search/?api=1&amp;query=Irabu%20Bridge%2C%20Miyakojima%2C%20Japan</t>
        </is>
      </c>
      <c r="AV190" s="16" t="inlineStr">
        <is>
          <t>2026-09-01</t>
        </is>
      </c>
      <c r="AW190" s="16" t="inlineStr">
        <is>
          <t>CALENDARIO / CONDICIÓN PENDIENTE</t>
        </is>
      </c>
      <c r="AX190" s="16" t="inlineStr">
        <is>
          <t>No hay cierre específico confirmado para la ventana, pero horarios o acceso pueden variar.</t>
        </is>
      </c>
      <c r="AY190" s="16" t="inlineStr">
        <is>
          <t>Reconfirmar en la web oficial al fijar fechas.</t>
        </is>
      </c>
    </row>
    <row r="191" ht="66" customHeight="1">
      <c r="A191" s="16" t="inlineStr">
        <is>
          <t>JP-190</t>
        </is>
      </c>
      <c r="B191" s="16" t="inlineStr">
        <is>
          <t>Okinawa</t>
        </is>
      </c>
      <c r="C191" s="16" t="inlineStr">
        <is>
          <t>Okinawa</t>
        </is>
      </c>
      <c r="D191" s="16" t="inlineStr">
        <is>
          <t>Okinawa</t>
        </is>
      </c>
      <c r="E191" s="16" t="inlineStr">
        <is>
          <t>Miyakojima</t>
        </is>
      </c>
      <c r="F191" s="16" t="inlineStr">
        <is>
          <t>Shimoji</t>
        </is>
      </c>
      <c r="G191" s="16" t="inlineStr">
        <is>
          <t>Miyako Islands</t>
        </is>
      </c>
      <c r="H191" s="16" t="inlineStr">
        <is>
          <t>Toriike Ponds</t>
        </is>
      </c>
      <c r="I191" s="16" t="inlineStr">
        <is>
          <t>通り池</t>
        </is>
      </c>
      <c r="J191" s="16" t="inlineStr">
        <is>
          <t>Toriike Ponds</t>
        </is>
      </c>
      <c r="K191" s="16" t="inlineStr">
        <is>
          <t>🧩 Extraño/peculiar/único</t>
        </is>
      </c>
      <c r="L191" s="16" t="inlineStr">
        <is>
          <t>pozas/cuevas marinas</t>
        </is>
      </c>
      <c r="M191" s="16" t="inlineStr">
        <is>
          <t>A</t>
        </is>
      </c>
      <c r="N191" s="16" t="inlineStr">
        <is>
          <t>Geología kárstica y conexión submarina crean un paisaje distinto de las playas.</t>
        </is>
      </c>
      <c r="O191" s="16" t="inlineStr">
        <is>
          <t>Dos pozas circulares conectadas con el mar por cuevas.</t>
        </is>
      </c>
      <c r="P191" s="16" t="inlineStr">
        <is>
          <t>Es sitio natural y de buceo técnico con mitología local.</t>
        </is>
      </c>
      <c r="Q191" s="16" t="inlineStr">
        <is>
          <t>Dos pozas circulares conectadas con el mar por cuevas.</t>
        </is>
      </c>
      <c r="R191" s="16" t="inlineStr">
        <is>
          <t>45–90 min</t>
        </is>
      </c>
      <c r="S191" s="16" t="inlineStr">
        <is>
          <t>Mañana</t>
        </is>
      </c>
      <c r="T191" s="16" t="inlineStr">
        <is>
          <t>Todo el año; buen clima</t>
        </is>
      </c>
      <c r="U191" s="16" t="inlineStr">
        <is>
          <t>Medio</t>
        </is>
      </c>
      <c r="V191" s="16" t="inlineStr">
        <is>
          <t>Medio</t>
        </is>
      </c>
      <c r="W191" s="89" t="n">
        <v>0</v>
      </c>
      <c r="X191" s="89" t="n">
        <v>0</v>
      </c>
      <c r="Y191" s="89">
        <f>W191*'Configuración'!$B$4</f>
        <v/>
      </c>
      <c r="Z191" s="89">
        <f>X191*'Configuración'!$B$4</f>
        <v/>
      </c>
      <c r="AA191" s="16" t="inlineStr">
        <is>
          <t>No</t>
        </is>
      </c>
      <c r="AB191" s="16" t="inlineStr">
        <is>
          <t>—</t>
        </is>
      </c>
      <c r="AC191" s="16" t="inlineStr">
        <is>
          <t>Espacio público</t>
        </is>
      </c>
      <c r="AD191" s="16" t="inlineStr">
        <is>
          <t>Clima</t>
        </is>
      </c>
      <c r="AE191" s="16" t="inlineStr">
        <is>
          <t>Auto</t>
        </is>
      </c>
      <c r="AF191" s="16" t="inlineStr">
        <is>
          <t>Parcial o baja; terreno irregular y condiciones naturales</t>
        </is>
      </c>
      <c r="AG191" s="90" t="n">
        <v>24.8276</v>
      </c>
      <c r="AH191" s="90" t="n">
        <v>125.142</v>
      </c>
      <c r="AI191" s="16" t="inlineStr">
        <is>
          <t>https://visitokinawajapan.com/</t>
        </is>
      </c>
      <c r="AJ191" s="16" t="inlineStr">
        <is>
          <t>Cambiante</t>
        </is>
      </c>
      <c r="AK191" s="16" t="inlineStr">
        <is>
          <t>UNIQUE / NATURE</t>
        </is>
      </c>
      <c r="AL191" s="16" t="inlineStr">
        <is>
          <t>fotografía, geología, naturaleza</t>
        </is>
      </c>
      <c r="AM191" s="91" t="n">
        <v>5</v>
      </c>
      <c r="AN191" s="91" t="n">
        <v>5</v>
      </c>
      <c r="AO191" s="91" t="n">
        <v>5</v>
      </c>
      <c r="AP191" s="91" t="n">
        <v>2</v>
      </c>
      <c r="AQ191" s="16" t="inlineStr">
        <is>
          <t>Imagen ideal: es sitio natural y de buceo técnico con mitología local. con luz de mañana, sin multitudes dominando el encuadre.</t>
        </is>
      </c>
      <c r="AR191" s="16" t="str"/>
      <c r="AS191" s="16" t="inlineStr">
        <is>
          <t>Semi-hidden</t>
        </is>
      </c>
      <c r="AT191" s="16" t="str"/>
      <c r="AU191" s="16" t="inlineStr">
        <is>
          <t>https://www.google.com/maps/search/?api=1&amp;query=Toriike%20Ponds%2C%20Miyakojima%2C%20Japan</t>
        </is>
      </c>
      <c r="AV191" s="16" t="inlineStr">
        <is>
          <t>2026-09-01</t>
        </is>
      </c>
      <c r="AW191" s="16" t="inlineStr">
        <is>
          <t>CALENDARIO / CONDICIÓN PENDIENTE</t>
        </is>
      </c>
      <c r="AX191" s="16" t="inlineStr">
        <is>
          <t>No hay cierre específico confirmado para la ventana, pero horarios o acceso pueden variar.</t>
        </is>
      </c>
      <c r="AY191" s="16" t="inlineStr">
        <is>
          <t>Reconfirmar en la web oficial al fijar fechas.</t>
        </is>
      </c>
    </row>
    <row r="192" ht="66" customHeight="1">
      <c r="A192" s="16" t="inlineStr">
        <is>
          <t>JP-191</t>
        </is>
      </c>
      <c r="B192" s="16" t="inlineStr">
        <is>
          <t>Okinawa</t>
        </is>
      </c>
      <c r="C192" s="16" t="inlineStr">
        <is>
          <t>Okinawa</t>
        </is>
      </c>
      <c r="D192" s="16" t="inlineStr">
        <is>
          <t>Okinawa</t>
        </is>
      </c>
      <c r="E192" s="16" t="inlineStr">
        <is>
          <t>Miyakojima</t>
        </is>
      </c>
      <c r="F192" s="16" t="inlineStr">
        <is>
          <t>Ikema</t>
        </is>
      </c>
      <c r="G192" s="16" t="inlineStr">
        <is>
          <t>Miyako Islands</t>
        </is>
      </c>
      <c r="H192" s="16" t="inlineStr">
        <is>
          <t>Yabiji coral reef</t>
        </is>
      </c>
      <c r="I192" s="16" t="inlineStr">
        <is>
          <t>八重干瀬</t>
        </is>
      </c>
      <c r="J192" s="16" t="inlineStr">
        <is>
          <t>Yabiji coral reef</t>
        </is>
      </c>
      <c r="K192" s="16" t="inlineStr">
        <is>
          <t>🌊 Playa/mar/islas</t>
        </is>
      </c>
      <c r="L192" s="16" t="inlineStr">
        <is>
          <t>snorkel/buceo</t>
        </is>
      </c>
      <c r="M192" s="16" t="inlineStr">
        <is>
          <t>A</t>
        </is>
      </c>
      <c r="N192" s="16" t="inlineStr">
        <is>
          <t>Uno de los mayores conjuntos de arrecifes de Japón, accesible solo en barco. Clasificación v2: excelente y muy recomendable, pero no justifica por sí sola adaptar la ruta.</t>
        </is>
      </c>
      <c r="O192" s="16" t="inlineStr">
        <is>
          <t>Meseta coralina al norte de Miyako con decenas de arrecifes.</t>
        </is>
      </c>
      <c r="P192" s="16" t="inlineStr">
        <is>
          <t>La escala y claridad del agua superan snorkels costeros.</t>
        </is>
      </c>
      <c r="Q192" s="16" t="inlineStr">
        <is>
          <t>Meseta coralina al norte de Miyako con decenas de arrecifes.</t>
        </is>
      </c>
      <c r="R192" s="16" t="inlineStr">
        <is>
          <t>Medio día</t>
        </is>
      </c>
      <c r="S192" s="16" t="inlineStr">
        <is>
          <t>Mañana</t>
        </is>
      </c>
      <c r="T192" s="16" t="inlineStr">
        <is>
          <t>Mar calmado; primavera–otoño</t>
        </is>
      </c>
      <c r="U192" s="16" t="inlineStr">
        <is>
          <t>Medio</t>
        </is>
      </c>
      <c r="V192" s="16" t="inlineStr">
        <is>
          <t>Medio</t>
        </is>
      </c>
      <c r="W192" s="89" t="n">
        <v>7000</v>
      </c>
      <c r="X192" s="89" t="n">
        <v>15000</v>
      </c>
      <c r="Y192" s="89">
        <f>W192*'Configuración'!$B$4</f>
        <v/>
      </c>
      <c r="Z192" s="89">
        <f>X192*'Configuración'!$B$4</f>
        <v/>
      </c>
      <c r="AA192" s="16" t="inlineStr">
        <is>
          <t>Sí</t>
        </is>
      </c>
      <c r="AB192" s="16" t="inlineStr">
        <is>
          <t>Semanas</t>
        </is>
      </c>
      <c r="AC192" s="16" t="inlineStr">
        <is>
          <t>Según operador y marea</t>
        </is>
      </c>
      <c r="AD192" s="16" t="inlineStr">
        <is>
          <t>Oleaje/tifones</t>
        </is>
      </c>
      <c r="AE192" s="16" t="inlineStr">
        <is>
          <t>Tour desde Ikema/Miyako</t>
        </is>
      </c>
      <c r="AF192" s="16" t="inlineStr">
        <is>
          <t>Buena en áreas principales; confirmar detalles con el recinto</t>
        </is>
      </c>
      <c r="AG192" s="90" t="n">
        <v>24.955</v>
      </c>
      <c r="AH192" s="90" t="n">
        <v>125.28</v>
      </c>
      <c r="AI192" s="16" t="inlineStr">
        <is>
          <t>https://visitokinawajapan.com/</t>
        </is>
      </c>
      <c r="AJ192" s="16" t="inlineStr">
        <is>
          <t>Cambiante</t>
        </is>
      </c>
      <c r="AK192" s="16" t="inlineStr">
        <is>
          <t>MUST SEE / SEA</t>
        </is>
      </c>
      <c r="AL192" s="16" t="inlineStr">
        <is>
          <t>snorkel, buceo, naturaleza</t>
        </is>
      </c>
      <c r="AM192" s="91" t="n">
        <v>5</v>
      </c>
      <c r="AN192" s="91" t="n">
        <v>5</v>
      </c>
      <c r="AO192" s="91" t="n">
        <v>4</v>
      </c>
      <c r="AP192" s="91" t="n">
        <v>2</v>
      </c>
      <c r="AQ192" s="16" t="inlineStr">
        <is>
          <t>Imagen ideal: la escala y claridad del agua superan snorkels costeros. con luz de mañana, sin multitudes dominando el encuadre.</t>
        </is>
      </c>
      <c r="AR192" s="16" t="str"/>
      <c r="AS192" s="16" t="inlineStr">
        <is>
          <t>Lugar conocido pero excelente</t>
        </is>
      </c>
      <c r="AT192" s="16" t="str"/>
      <c r="AU192" s="16" t="inlineStr">
        <is>
          <t>https://www.google.com/maps/search/?api=1&amp;query=Yabiji%20coral%20reef%2C%20Miyakojima%2C%20Japan</t>
        </is>
      </c>
      <c r="AV192" s="16" t="inlineStr">
        <is>
          <t>2026-09-01</t>
        </is>
      </c>
      <c r="AW192" s="16" t="inlineStr">
        <is>
          <t>VARIABLE POR MAR</t>
        </is>
      </c>
      <c r="AX192" s="16" t="inlineStr">
        <is>
          <t>Agua más fresca, viento y servicios de playa reducidos; ferries/tours pueden cancelarse.</t>
        </is>
      </c>
      <c r="AY192" s="16" t="inlineStr">
        <is>
          <t>Revisar oleaje, bandera y transporte 24–48 h antes; valorar neopreno.</t>
        </is>
      </c>
    </row>
    <row r="193" ht="66" customHeight="1">
      <c r="A193" s="16" t="inlineStr">
        <is>
          <t>JP-192</t>
        </is>
      </c>
      <c r="B193" s="16" t="inlineStr">
        <is>
          <t>Okinawa</t>
        </is>
      </c>
      <c r="C193" s="16" t="inlineStr">
        <is>
          <t>Okinawa</t>
        </is>
      </c>
      <c r="D193" s="16" t="inlineStr">
        <is>
          <t>Okinawa</t>
        </is>
      </c>
      <c r="E193" s="16" t="inlineStr">
        <is>
          <t>Ishigaki</t>
        </is>
      </c>
      <c r="F193" s="16" t="inlineStr">
        <is>
          <t>Kabira</t>
        </is>
      </c>
      <c r="G193" s="16" t="inlineStr">
        <is>
          <t>Yaeyama</t>
        </is>
      </c>
      <c r="H193" s="16" t="inlineStr">
        <is>
          <t>Kabira Bay</t>
        </is>
      </c>
      <c r="I193" s="16" t="inlineStr">
        <is>
          <t>川平湾</t>
        </is>
      </c>
      <c r="J193" s="16" t="inlineStr">
        <is>
          <t>Kabira Bay</t>
        </is>
      </c>
      <c r="K193" s="16" t="inlineStr">
        <is>
          <t>🌊 Playa/mar/islas</t>
        </is>
      </c>
      <c r="L193" s="16" t="inlineStr">
        <is>
          <t>bahía/mirador</t>
        </is>
      </c>
      <c r="M193" s="16" t="inlineStr">
        <is>
          <t>S</t>
        </is>
      </c>
      <c r="N193" s="16" t="inlineStr">
        <is>
          <t>Color, islas y corrientes forman el paisaje más emblemático de Ishigaki.</t>
        </is>
      </c>
      <c r="O193" s="16" t="inlineStr">
        <is>
          <t>Bahía de arena blanca y islotes, vista desde miradores y botes de fondo de vidrio.</t>
        </is>
      </c>
      <c r="P193" s="16" t="inlineStr">
        <is>
          <t>No se nada por corrientes; su valor principal es paisajístico.</t>
        </is>
      </c>
      <c r="Q193" s="16" t="inlineStr">
        <is>
          <t>Bahía de arena blanca y islotes, vista desde miradores y botes de fondo de vidrio.</t>
        </is>
      </c>
      <c r="R193" s="16" t="inlineStr">
        <is>
          <t>1.5–3 h</t>
        </is>
      </c>
      <c r="S193" s="16" t="inlineStr">
        <is>
          <t>Mañana</t>
        </is>
      </c>
      <c r="T193" s="16" t="inlineStr">
        <is>
          <t>Días despejados</t>
        </is>
      </c>
      <c r="U193" s="16" t="inlineStr">
        <is>
          <t>Extremo</t>
        </is>
      </c>
      <c r="V193" s="16" t="inlineStr">
        <is>
          <t>Alto</t>
        </is>
      </c>
      <c r="W193" s="89" t="n">
        <v>0</v>
      </c>
      <c r="X193" s="89" t="n">
        <v>1500</v>
      </c>
      <c r="Y193" s="89">
        <f>W193*'Configuración'!$B$4</f>
        <v/>
      </c>
      <c r="Z193" s="89">
        <f>X193*'Configuración'!$B$4</f>
        <v/>
      </c>
      <c r="AA193" s="16" t="inlineStr">
        <is>
          <t>No</t>
        </is>
      </c>
      <c r="AB193" s="16" t="inlineStr">
        <is>
          <t>—</t>
        </is>
      </c>
      <c r="AC193" s="16" t="inlineStr">
        <is>
          <t>Servicios diurnos</t>
        </is>
      </c>
      <c r="AD193" s="16" t="inlineStr">
        <is>
          <t>Clima</t>
        </is>
      </c>
      <c r="AE193" s="16" t="inlineStr">
        <is>
          <t>Auto/bus</t>
        </is>
      </c>
      <c r="AF193" s="16" t="inlineStr">
        <is>
          <t>Buena en áreas principales; confirmar detalles con el recinto</t>
        </is>
      </c>
      <c r="AG193" s="90" t="n">
        <v>24.4607</v>
      </c>
      <c r="AH193" s="90" t="n">
        <v>124.1437</v>
      </c>
      <c r="AI193" s="16" t="inlineStr">
        <is>
          <t>https://visitokinawajapan.com/destinations/yaeyama-islands/ishigaki-island/</t>
        </is>
      </c>
      <c r="AJ193" s="16" t="inlineStr">
        <is>
          <t>Cambiante</t>
        </is>
      </c>
      <c r="AK193" s="16" t="inlineStr">
        <is>
          <t>MUST SEE / VIEW</t>
        </is>
      </c>
      <c r="AL193" s="16" t="inlineStr">
        <is>
          <t>pareja, fotografía, mar</t>
        </is>
      </c>
      <c r="AM193" s="91" t="n">
        <v>5</v>
      </c>
      <c r="AN193" s="91" t="n">
        <v>5</v>
      </c>
      <c r="AO193" s="91" t="n">
        <v>4</v>
      </c>
      <c r="AP193" s="91" t="n">
        <v>4</v>
      </c>
      <c r="AQ193" s="16" t="inlineStr">
        <is>
          <t>Imagen ideal: no se nada por corrientes; su valor principal es paisajístico. con luz de mañana, sin multitudes dominando el encuadre.</t>
        </is>
      </c>
      <c r="AR193" s="16" t="inlineStr">
        <is>
          <t>Yonehara Beach and coral (~79 min en transporte)</t>
        </is>
      </c>
      <c r="AS193" s="16" t="inlineStr">
        <is>
          <t>Popular / turístico</t>
        </is>
      </c>
      <c r="AT193" s="16" t="str"/>
      <c r="AU193" s="16" t="inlineStr">
        <is>
          <t>https://www.google.com/maps/search/?api=1&amp;query=Kabira%20Bay%2C%20Ishigaki%2C%20Japan</t>
        </is>
      </c>
      <c r="AV193" s="16" t="inlineStr">
        <is>
          <t>2026-09-01</t>
        </is>
      </c>
      <c r="AW193" s="16" t="inlineStr">
        <is>
          <t>VARIABLE POR MAR</t>
        </is>
      </c>
      <c r="AX193" s="16" t="inlineStr">
        <is>
          <t>Agua más fresca, viento y servicios de playa reducidos; ferries/tours pueden cancelarse.</t>
        </is>
      </c>
      <c r="AY193" s="16" t="inlineStr">
        <is>
          <t>Revisar oleaje, bandera y transporte 24–48 h antes; valorar neopreno.</t>
        </is>
      </c>
    </row>
    <row r="194" ht="66" customHeight="1">
      <c r="A194" s="16" t="inlineStr">
        <is>
          <t>JP-193</t>
        </is>
      </c>
      <c r="B194" s="16" t="inlineStr">
        <is>
          <t>Okinawa</t>
        </is>
      </c>
      <c r="C194" s="16" t="inlineStr">
        <is>
          <t>Okinawa</t>
        </is>
      </c>
      <c r="D194" s="16" t="inlineStr">
        <is>
          <t>Okinawa</t>
        </is>
      </c>
      <c r="E194" s="16" t="inlineStr">
        <is>
          <t>Ishigaki</t>
        </is>
      </c>
      <c r="F194" s="16" t="inlineStr">
        <is>
          <t>Yonehara</t>
        </is>
      </c>
      <c r="G194" s="16" t="inlineStr">
        <is>
          <t>Yaeyama</t>
        </is>
      </c>
      <c r="H194" s="16" t="inlineStr">
        <is>
          <t>Yonehara Beach and coral</t>
        </is>
      </c>
      <c r="I194" s="16" t="inlineStr">
        <is>
          <t>米原ビーチ</t>
        </is>
      </c>
      <c r="J194" s="16" t="inlineStr">
        <is>
          <t>Yonehara Beach and coral</t>
        </is>
      </c>
      <c r="K194" s="16" t="inlineStr">
        <is>
          <t>🌊 Playa/mar/islas</t>
        </is>
      </c>
      <c r="L194" s="16" t="inlineStr">
        <is>
          <t>playa/snorkel</t>
        </is>
      </c>
      <c r="M194" s="16" t="inlineStr">
        <is>
          <t>A</t>
        </is>
      </c>
      <c r="N194" s="16" t="inlineStr">
        <is>
          <t>Coral cerca de la costa y buena diversidad, con riesgos que exigen prudencia.</t>
        </is>
      </c>
      <c r="O194" s="16" t="inlineStr">
        <is>
          <t>Playa del norte de Ishigaki con arrecife somero.</t>
        </is>
      </c>
      <c r="P194" s="16" t="inlineStr">
        <is>
          <t>Snorkel accesible sin barco, pero corrientes pueden ser peligrosas.</t>
        </is>
      </c>
      <c r="Q194" s="16" t="inlineStr">
        <is>
          <t>Playa del norte de Ishigaki con arrecife somero.</t>
        </is>
      </c>
      <c r="R194" s="16" t="inlineStr">
        <is>
          <t>2–4 h</t>
        </is>
      </c>
      <c r="S194" s="16" t="inlineStr">
        <is>
          <t>Mañana</t>
        </is>
      </c>
      <c r="T194" s="16" t="inlineStr">
        <is>
          <t>Mar calmado</t>
        </is>
      </c>
      <c r="U194" s="16" t="inlineStr">
        <is>
          <t>Medio</t>
        </is>
      </c>
      <c r="V194" s="16" t="inlineStr">
        <is>
          <t>Medio</t>
        </is>
      </c>
      <c r="W194" s="89" t="n">
        <v>0</v>
      </c>
      <c r="X194" s="89" t="n">
        <v>3000</v>
      </c>
      <c r="Y194" s="89">
        <f>W194*'Configuración'!$B$4</f>
        <v/>
      </c>
      <c r="Z194" s="89">
        <f>X194*'Configuración'!$B$4</f>
        <v/>
      </c>
      <c r="AA194" s="16" t="inlineStr">
        <is>
          <t>No</t>
        </is>
      </c>
      <c r="AB194" s="16" t="inlineStr">
        <is>
          <t>—</t>
        </is>
      </c>
      <c r="AC194" s="16" t="inlineStr">
        <is>
          <t>Playa abierta; servicios limitados</t>
        </is>
      </c>
      <c r="AD194" s="16" t="inlineStr">
        <is>
          <t>Oleaje/alertas</t>
        </is>
      </c>
      <c r="AE194" s="16" t="inlineStr">
        <is>
          <t>Auto</t>
        </is>
      </c>
      <c r="AF194" s="16" t="inlineStr">
        <is>
          <t>Parcial o baja; terreno irregular y condiciones naturales</t>
        </is>
      </c>
      <c r="AG194" s="90" t="n">
        <v>24.4544</v>
      </c>
      <c r="AH194" s="90" t="n">
        <v>124.1987</v>
      </c>
      <c r="AI194" s="16" t="inlineStr">
        <is>
          <t>https://visitokinawajapan.com/</t>
        </is>
      </c>
      <c r="AJ194" s="16" t="inlineStr">
        <is>
          <t>Cambiante</t>
        </is>
      </c>
      <c r="AK194" s="16" t="inlineStr">
        <is>
          <t>SEA</t>
        </is>
      </c>
      <c r="AL194" s="16" t="inlineStr">
        <is>
          <t>snorkel, playa, naturaleza</t>
        </is>
      </c>
      <c r="AM194" s="91" t="n">
        <v>5</v>
      </c>
      <c r="AN194" s="91" t="n">
        <v>4</v>
      </c>
      <c r="AO194" s="91" t="n">
        <v>4</v>
      </c>
      <c r="AP194" s="91" t="n">
        <v>2</v>
      </c>
      <c r="AQ194" s="16" t="inlineStr">
        <is>
          <t>Imagen ideal: snorkel accesible sin barco, pero corrientes pueden ser peligrosas. con luz de mañana, sin multitudes dominando el encuadre.</t>
        </is>
      </c>
      <c r="AR194" s="16" t="inlineStr">
        <is>
          <t>Kabira Bay (~79 min en transporte) | Yaeyama stargazing experience (~83 min en transporte)</t>
        </is>
      </c>
      <c r="AS194" s="16" t="inlineStr">
        <is>
          <t>Semi-hidden</t>
        </is>
      </c>
      <c r="AT194" s="16" t="str"/>
      <c r="AU194" s="16" t="inlineStr">
        <is>
          <t>https://www.google.com/maps/search/?api=1&amp;query=Yonehara%20Beach%20and%20coral%2C%20Ishigaki%2C%20Japan</t>
        </is>
      </c>
      <c r="AV194" s="16" t="inlineStr">
        <is>
          <t>2026-09-01</t>
        </is>
      </c>
      <c r="AW194" s="16" t="inlineStr">
        <is>
          <t>VARIABLE POR MAR</t>
        </is>
      </c>
      <c r="AX194" s="16" t="inlineStr">
        <is>
          <t>Agua más fresca, viento y servicios de playa reducidos; ferries/tours pueden cancelarse.</t>
        </is>
      </c>
      <c r="AY194" s="16" t="inlineStr">
        <is>
          <t>Revisar oleaje, bandera y transporte 24–48 h antes; valorar neopreno.</t>
        </is>
      </c>
    </row>
    <row r="195" ht="66" customHeight="1">
      <c r="A195" s="16" t="inlineStr">
        <is>
          <t>JP-194</t>
        </is>
      </c>
      <c r="B195" s="16" t="inlineStr">
        <is>
          <t>Okinawa</t>
        </is>
      </c>
      <c r="C195" s="16" t="inlineStr">
        <is>
          <t>Okinawa</t>
        </is>
      </c>
      <c r="D195" s="16" t="inlineStr">
        <is>
          <t>Okinawa</t>
        </is>
      </c>
      <c r="E195" s="16" t="inlineStr">
        <is>
          <t>Ishigaki</t>
        </is>
      </c>
      <c r="F195" s="16" t="inlineStr">
        <is>
          <t>Banna</t>
        </is>
      </c>
      <c r="G195" s="16" t="inlineStr">
        <is>
          <t>Yaeyama</t>
        </is>
      </c>
      <c r="H195" s="16" t="inlineStr">
        <is>
          <t>Banna Park</t>
        </is>
      </c>
      <c r="I195" s="16" t="inlineStr">
        <is>
          <t>バンナ公園</t>
        </is>
      </c>
      <c r="J195" s="16" t="inlineStr">
        <is>
          <t>Banna Park</t>
        </is>
      </c>
      <c r="K195" s="16" t="inlineStr">
        <is>
          <t>🌿 Naturaleza</t>
        </is>
      </c>
      <c r="L195" s="16" t="inlineStr">
        <is>
          <t>parque/miradores</t>
        </is>
      </c>
      <c r="M195" s="16" t="inlineStr">
        <is>
          <t>A</t>
        </is>
      </c>
      <c r="N195" s="16" t="inlineStr">
        <is>
          <t>Gran base para bosque, aves y vistas sin pagar ni enfrentar multitudes.</t>
        </is>
      </c>
      <c r="O195" s="16" t="inlineStr">
        <is>
          <t>Parque montañoso con senderos, puentes y observatorios.</t>
        </is>
      </c>
      <c r="P195" s="16" t="inlineStr">
        <is>
          <t>Muestra el interior verde de Ishigaki, no solo costa.</t>
        </is>
      </c>
      <c r="Q195" s="16" t="inlineStr">
        <is>
          <t>Parque montañoso con senderos, puentes y observatorios.</t>
        </is>
      </c>
      <c r="R195" s="16" t="inlineStr">
        <is>
          <t>2–4 h</t>
        </is>
      </c>
      <c r="S195" s="16" t="inlineStr">
        <is>
          <t>Mañana</t>
        </is>
      </c>
      <c r="T195" s="16" t="inlineStr">
        <is>
          <t>Todo el año</t>
        </is>
      </c>
      <c r="U195" s="16" t="inlineStr">
        <is>
          <t>Bajo</t>
        </is>
      </c>
      <c r="V195" s="16" t="inlineStr">
        <is>
          <t>Bajo</t>
        </is>
      </c>
      <c r="W195" s="89" t="n">
        <v>0</v>
      </c>
      <c r="X195" s="89" t="n">
        <v>0</v>
      </c>
      <c r="Y195" s="89">
        <f>W195*'Configuración'!$B$4</f>
        <v/>
      </c>
      <c r="Z195" s="89">
        <f>X195*'Configuración'!$B$4</f>
        <v/>
      </c>
      <c r="AA195" s="16" t="inlineStr">
        <is>
          <t>No</t>
        </is>
      </c>
      <c r="AB195" s="16" t="inlineStr">
        <is>
          <t>—</t>
        </is>
      </c>
      <c r="AC195" s="16" t="inlineStr">
        <is>
          <t>Parque abierto; instalaciones diurnas</t>
        </is>
      </c>
      <c r="AD195" s="16" t="inlineStr">
        <is>
          <t>Clima</t>
        </is>
      </c>
      <c r="AE195" s="16" t="inlineStr">
        <is>
          <t>Auto/taxi</t>
        </is>
      </c>
      <c r="AF195" s="16" t="inlineStr">
        <is>
          <t>Buena en áreas principales; confirmar detalles con el recinto</t>
        </is>
      </c>
      <c r="AG195" s="90" t="n">
        <v>24.3707</v>
      </c>
      <c r="AH195" s="90" t="n">
        <v>124.1638</v>
      </c>
      <c r="AI195" s="16" t="inlineStr">
        <is>
          <t>https://visitokinawajapan.com/</t>
        </is>
      </c>
      <c r="AJ195" s="16" t="inlineStr">
        <is>
          <t>Cambiante</t>
        </is>
      </c>
      <c r="AK195" s="16" t="inlineStr">
        <is>
          <t>HIDDEN GEM</t>
        </is>
      </c>
      <c r="AL195" s="16" t="inlineStr">
        <is>
          <t>naturaleza, fauna, fotografía</t>
        </is>
      </c>
      <c r="AM195" s="91" t="n">
        <v>4</v>
      </c>
      <c r="AN195" s="91" t="n">
        <v>5</v>
      </c>
      <c r="AO195" s="91" t="n">
        <v>5</v>
      </c>
      <c r="AP195" s="91" t="n">
        <v>1</v>
      </c>
      <c r="AQ195" s="16" t="inlineStr">
        <is>
          <t>Imagen ideal: muestra el interior verde de ishigaki, no solo costa. con luz de mañana, sin multitudes dominando el encuadre.</t>
        </is>
      </c>
      <c r="AR195" s="16" t="inlineStr">
        <is>
          <t>Yaeyama stargazing experience (~58 min en transporte)</t>
        </is>
      </c>
      <c r="AS195" s="16" t="inlineStr">
        <is>
          <t>Hidden Gem real</t>
        </is>
      </c>
      <c r="AT195" s="16" t="str"/>
      <c r="AU195" s="16" t="inlineStr">
        <is>
          <t>https://www.google.com/maps/search/?api=1&amp;query=Banna%20Park%2C%20Ishigaki%2C%20Japan</t>
        </is>
      </c>
      <c r="AV195" s="16" t="inlineStr">
        <is>
          <t>2026-09-01</t>
        </is>
      </c>
      <c r="AW195" s="16" t="inlineStr">
        <is>
          <t>CALENDARIO / CONDICIÓN PENDIENTE</t>
        </is>
      </c>
      <c r="AX195" s="16" t="inlineStr">
        <is>
          <t>No hay cierre específico confirmado para la ventana, pero horarios o acceso pueden variar.</t>
        </is>
      </c>
      <c r="AY195" s="16" t="inlineStr">
        <is>
          <t>Reconfirmar en la web oficial al fijar fechas.</t>
        </is>
      </c>
    </row>
    <row r="196" ht="66" customHeight="1">
      <c r="A196" s="16" t="inlineStr">
        <is>
          <t>JP-195</t>
        </is>
      </c>
      <c r="B196" s="16" t="inlineStr">
        <is>
          <t>Okinawa</t>
        </is>
      </c>
      <c r="C196" s="16" t="inlineStr">
        <is>
          <t>Okinawa</t>
        </is>
      </c>
      <c r="D196" s="16" t="inlineStr">
        <is>
          <t>Okinawa</t>
        </is>
      </c>
      <c r="E196" s="16" t="inlineStr">
        <is>
          <t>Ishigaki</t>
        </is>
      </c>
      <c r="F196" s="16" t="inlineStr">
        <is>
          <t>Ishigaki</t>
        </is>
      </c>
      <c r="G196" s="16" t="inlineStr">
        <is>
          <t>Yaeyama</t>
        </is>
      </c>
      <c r="H196" s="16" t="inlineStr">
        <is>
          <t>Yaeyama stargazing experience</t>
        </is>
      </c>
      <c r="I196" s="16" t="inlineStr">
        <is>
          <t>八重山星空観察</t>
        </is>
      </c>
      <c r="J196" s="16" t="inlineStr">
        <is>
          <t>Yaeyama stargazing experience</t>
        </is>
      </c>
      <c r="K196" s="16" t="inlineStr">
        <is>
          <t>🌌 Cielo nocturno</t>
        </is>
      </c>
      <c r="L196" s="16" t="inlineStr">
        <is>
          <t>experiencia astronómica</t>
        </is>
      </c>
      <c r="M196" s="16" t="inlineStr">
        <is>
          <t>A</t>
        </is>
      </c>
      <c r="N196" s="16" t="inlineStr">
        <is>
          <t>Latitud, baja contaminación lumínica y cultura estelar Yaeyama crean una noche excepcional. Clasificación v2: excelente y muy recomendable, pero no justifica por sí sola adaptar la ruta.</t>
        </is>
      </c>
      <c r="O196" s="16" t="inlineStr">
        <is>
          <t>Tours de observación, planetario y cielo oscuro alrededor de Ishigaki.</t>
        </is>
      </c>
      <c r="P196" s="16" t="inlineStr">
        <is>
          <t>Constelaciones australes y narrativas locales no se ven desde Japón central.</t>
        </is>
      </c>
      <c r="Q196" s="16" t="inlineStr">
        <is>
          <t>Tours de observación, planetario y cielo oscuro alrededor de Ishigaki.</t>
        </is>
      </c>
      <c r="R196" s="16" t="inlineStr">
        <is>
          <t>1.5–3 h</t>
        </is>
      </c>
      <c r="S196" s="16" t="inlineStr">
        <is>
          <t>Noche</t>
        </is>
      </c>
      <c r="T196" s="16" t="inlineStr">
        <is>
          <t>Luna nueva y cielo despejado</t>
        </is>
      </c>
      <c r="U196" s="16" t="inlineStr">
        <is>
          <t>Medio</t>
        </is>
      </c>
      <c r="V196" s="16" t="inlineStr">
        <is>
          <t>Bajo</t>
        </is>
      </c>
      <c r="W196" s="89" t="n">
        <v>3000</v>
      </c>
      <c r="X196" s="89" t="n">
        <v>8000</v>
      </c>
      <c r="Y196" s="89">
        <f>W196*'Configuración'!$B$4</f>
        <v/>
      </c>
      <c r="Z196" s="89">
        <f>X196*'Configuración'!$B$4</f>
        <v/>
      </c>
      <c r="AA196" s="16" t="inlineStr">
        <is>
          <t>Sí</t>
        </is>
      </c>
      <c r="AB196" s="16" t="inlineStr">
        <is>
          <t>Días/semanas</t>
        </is>
      </c>
      <c r="AC196" s="16" t="inlineStr">
        <is>
          <t>Según operador y clima</t>
        </is>
      </c>
      <c r="AD196" s="16" t="inlineStr">
        <is>
          <t>Nubes/tifones</t>
        </is>
      </c>
      <c r="AE196" s="16" t="inlineStr">
        <is>
          <t>Auto/tour</t>
        </is>
      </c>
      <c r="AF196" s="16" t="inlineStr">
        <is>
          <t>Buena en áreas principales; confirmar detalles con el recinto</t>
        </is>
      </c>
      <c r="AG196" s="90" t="n">
        <v>24.4075</v>
      </c>
      <c r="AH196" s="90" t="n">
        <v>124.171</v>
      </c>
      <c r="AI196" s="16" t="inlineStr">
        <is>
          <t>https://visitokinawajapan.com/</t>
        </is>
      </c>
      <c r="AJ196" s="16" t="inlineStr">
        <is>
          <t>Cambiante</t>
        </is>
      </c>
      <c r="AK196" s="16" t="inlineStr">
        <is>
          <t>NIGHT / UNIQUE</t>
        </is>
      </c>
      <c r="AL196" s="16" t="inlineStr">
        <is>
          <t>pareja, astronomía, fotografía</t>
        </is>
      </c>
      <c r="AM196" s="91" t="n">
        <v>5</v>
      </c>
      <c r="AN196" s="91" t="n">
        <v>5</v>
      </c>
      <c r="AO196" s="91" t="n">
        <v>4</v>
      </c>
      <c r="AP196" s="91" t="n">
        <v>1</v>
      </c>
      <c r="AQ196" s="16" t="inlineStr">
        <is>
          <t>Imagen ideal: constelaciones australes y narrativas locales no se ven desde japón central. con luz de noche, sin multitudes dominando el encuadre.</t>
        </is>
      </c>
      <c r="AR196" s="16" t="inlineStr">
        <is>
          <t>Banna Park (~58 min en transporte) | Yonehara Beach and coral (~83 min en transporte)</t>
        </is>
      </c>
      <c r="AS196" s="16" t="inlineStr">
        <is>
          <t>Hidden Gem real</t>
        </is>
      </c>
      <c r="AT196" s="16" t="str"/>
      <c r="AU196" s="16" t="inlineStr">
        <is>
          <t>https://www.google.com/maps/search/?api=1&amp;query=Yaeyama%20stargazing%20experience%2C%20Ishigaki%2C%20Japan</t>
        </is>
      </c>
      <c r="AV196" s="16" t="inlineStr">
        <is>
          <t>2026-09-01</t>
        </is>
      </c>
      <c r="AW196" s="16" t="inlineStr">
        <is>
          <t>CALENDARIO / CONDICIÓN PENDIENTE</t>
        </is>
      </c>
      <c r="AX196" s="16" t="inlineStr">
        <is>
          <t>No hay cierre específico confirmado para la ventana, pero horarios o acceso pueden variar.</t>
        </is>
      </c>
      <c r="AY196" s="16" t="inlineStr">
        <is>
          <t>Reconfirmar en la web oficial al fijar fechas.</t>
        </is>
      </c>
    </row>
    <row r="197" ht="66" customHeight="1">
      <c r="A197" s="16" t="inlineStr">
        <is>
          <t>JP-196</t>
        </is>
      </c>
      <c r="B197" s="16" t="inlineStr">
        <is>
          <t>Okinawa</t>
        </is>
      </c>
      <c r="C197" s="16" t="inlineStr">
        <is>
          <t>Okinawa</t>
        </is>
      </c>
      <c r="D197" s="16" t="inlineStr">
        <is>
          <t>Okinawa</t>
        </is>
      </c>
      <c r="E197" s="16" t="inlineStr">
        <is>
          <t>Taketomi</t>
        </is>
      </c>
      <c r="F197" s="16" t="inlineStr">
        <is>
          <t>Taketomi</t>
        </is>
      </c>
      <c r="G197" s="16" t="inlineStr">
        <is>
          <t>Yaeyama</t>
        </is>
      </c>
      <c r="H197" s="16" t="inlineStr">
        <is>
          <t>Taketomi Island village</t>
        </is>
      </c>
      <c r="I197" s="16" t="inlineStr">
        <is>
          <t>竹富島</t>
        </is>
      </c>
      <c r="J197" s="16" t="inlineStr">
        <is>
          <t>Taketomi Island village</t>
        </is>
      </c>
      <c r="K197" s="16" t="inlineStr">
        <is>
          <t>🏙️ Ciudad y barrios</t>
        </is>
      </c>
      <c r="L197" s="16" t="inlineStr">
        <is>
          <t>isla/pueblo</t>
        </is>
      </c>
      <c r="M197" s="16" t="inlineStr">
        <is>
          <t>S</t>
        </is>
      </c>
      <c r="N197" s="16" t="inlineStr">
        <is>
          <t>Paisaje urbano Ryukyu extraordinariamente bien conservado a minutos de Ishigaki.</t>
        </is>
      </c>
      <c r="O197" s="16" t="inlineStr">
        <is>
          <t>Casas de techo rojo, muros de coral y caminos de arena blanca.</t>
        </is>
      </c>
      <c r="P197" s="16" t="inlineStr">
        <is>
          <t>La escala permite recorrerla en bici sin infraestructura urbana dominante.</t>
        </is>
      </c>
      <c r="Q197" s="16" t="inlineStr">
        <is>
          <t>Casas de techo rojo, muros de coral y caminos de arena blanca.</t>
        </is>
      </c>
      <c r="R197" s="16" t="inlineStr">
        <is>
          <t>Medio día–1 noche</t>
        </is>
      </c>
      <c r="S197" s="16" t="inlineStr">
        <is>
          <t>Mañana</t>
        </is>
      </c>
      <c r="T197" s="16" t="inlineStr">
        <is>
          <t>Todo el año; evitar calor extremo</t>
        </is>
      </c>
      <c r="U197" s="16" t="inlineStr">
        <is>
          <t>Alto</t>
        </is>
      </c>
      <c r="V197" s="16" t="inlineStr">
        <is>
          <t>Alto</t>
        </is>
      </c>
      <c r="W197" s="89" t="n">
        <v>1600</v>
      </c>
      <c r="X197" s="89" t="n">
        <v>4000</v>
      </c>
      <c r="Y197" s="89">
        <f>W197*'Configuración'!$B$4</f>
        <v/>
      </c>
      <c r="Z197" s="89">
        <f>X197*'Configuración'!$B$4</f>
        <v/>
      </c>
      <c r="AA197" s="16" t="inlineStr">
        <is>
          <t>Recomendable</t>
        </is>
      </c>
      <c r="AB197" s="16" t="inlineStr">
        <is>
          <t>Ferry/alojamiento días-semanas</t>
        </is>
      </c>
      <c r="AC197" s="16" t="inlineStr">
        <is>
          <t>Ferries variables</t>
        </is>
      </c>
      <c r="AD197" s="16" t="inlineStr">
        <is>
          <t>Mal tiempo</t>
        </is>
      </c>
      <c r="AE197" s="16" t="inlineStr">
        <is>
          <t>Ferry desde Ishigaki</t>
        </is>
      </c>
      <c r="AF197" s="16" t="inlineStr">
        <is>
          <t>Parcial o baja; terreno irregular y condiciones naturales</t>
        </is>
      </c>
      <c r="AG197" s="90" t="n">
        <v>24.3258</v>
      </c>
      <c r="AH197" s="90" t="n">
        <v>124.0868</v>
      </c>
      <c r="AI197" s="16" t="inlineStr">
        <is>
          <t>https://visitokinawajapan.com/destinations/yaeyama-islands/taketomi-island/</t>
        </is>
      </c>
      <c r="AJ197" s="16" t="inlineStr">
        <is>
          <t>Cambiante</t>
        </is>
      </c>
      <c r="AK197" s="16" t="inlineStr">
        <is>
          <t>MUST SEE / ISLAND</t>
        </is>
      </c>
      <c r="AL197" s="16" t="inlineStr">
        <is>
          <t>pareja, bicicleta, cultura, fotografía</t>
        </is>
      </c>
      <c r="AM197" s="91" t="n">
        <v>5</v>
      </c>
      <c r="AN197" s="91" t="n">
        <v>5</v>
      </c>
      <c r="AO197" s="91" t="n">
        <v>4</v>
      </c>
      <c r="AP197" s="91" t="n">
        <v>4</v>
      </c>
      <c r="AQ197" s="16" t="inlineStr">
        <is>
          <t>Imagen ideal: la escala permite recorrerla en bici sin infraestructura urbana dominante. con luz de mañana, sin multitudes dominando el encuadre.</t>
        </is>
      </c>
      <c r="AR197" s="16" t="str"/>
      <c r="AS197" s="16" t="inlineStr">
        <is>
          <t>Popular / turístico</t>
        </is>
      </c>
      <c r="AT197" s="16" t="str"/>
      <c r="AU197" s="16" t="inlineStr">
        <is>
          <t>https://www.google.com/maps/search/?api=1&amp;query=Taketomi%20Island%20village%2C%20Taketomi%2C%20Japan</t>
        </is>
      </c>
      <c r="AV197" s="16" t="inlineStr">
        <is>
          <t>2026-09-01</t>
        </is>
      </c>
      <c r="AW197" s="16" t="inlineStr">
        <is>
          <t>VARIABLE POR MAR</t>
        </is>
      </c>
      <c r="AX197" s="16" t="inlineStr">
        <is>
          <t>Agua más fresca, viento y servicios de playa reducidos; ferries/tours pueden cancelarse.</t>
        </is>
      </c>
      <c r="AY197" s="16" t="inlineStr">
        <is>
          <t>Revisar oleaje, bandera y transporte 24–48 h antes; valorar neopreno.</t>
        </is>
      </c>
    </row>
    <row r="198" ht="66" customHeight="1">
      <c r="A198" s="16" t="inlineStr">
        <is>
          <t>JP-197</t>
        </is>
      </c>
      <c r="B198" s="16" t="inlineStr">
        <is>
          <t>Okinawa</t>
        </is>
      </c>
      <c r="C198" s="16" t="inlineStr">
        <is>
          <t>Okinawa</t>
        </is>
      </c>
      <c r="D198" s="16" t="inlineStr">
        <is>
          <t>Okinawa</t>
        </is>
      </c>
      <c r="E198" s="16" t="inlineStr">
        <is>
          <t>Taketomi</t>
        </is>
      </c>
      <c r="F198" s="16" t="inlineStr">
        <is>
          <t>Iriomote</t>
        </is>
      </c>
      <c r="G198" s="16" t="inlineStr">
        <is>
          <t>Yaeyama</t>
        </is>
      </c>
      <c r="H198" s="16" t="inlineStr">
        <is>
          <t>Iriomote mangrove and jungle expedition</t>
        </is>
      </c>
      <c r="I198" s="16" t="inlineStr">
        <is>
          <t>西表島マングローブ・ジャングル</t>
        </is>
      </c>
      <c r="J198" s="16" t="inlineStr">
        <is>
          <t>Iriomote mangrove and jungle expedition</t>
        </is>
      </c>
      <c r="K198" s="16" t="inlineStr">
        <is>
          <t>🥾 Senderismo/aventura</t>
        </is>
      </c>
      <c r="L198" s="16" t="inlineStr">
        <is>
          <t>kayak/trek</t>
        </is>
      </c>
      <c r="M198" s="16" t="inlineStr">
        <is>
          <t>S</t>
        </is>
      </c>
      <c r="N198" s="16" t="inlineStr">
        <is>
          <t>La experiencia natural más salvaje y biodiversa de Okinawa.</t>
        </is>
      </c>
      <c r="O198" s="16" t="inlineStr">
        <is>
          <t>Kayak, manglares, cascadas y selva en una isla patrimonio mundial.</t>
        </is>
      </c>
      <c r="P198" s="16" t="inlineStr">
        <is>
          <t>Requiere guía responsable y conserva una escala de naturaleza real.</t>
        </is>
      </c>
      <c r="Q198" s="16" t="inlineStr">
        <is>
          <t>Kayak, manglares, cascadas y selva en una isla patrimonio mundial.</t>
        </is>
      </c>
      <c r="R198" s="16" t="inlineStr">
        <is>
          <t>Día completo–2 noches</t>
        </is>
      </c>
      <c r="S198" s="16" t="inlineStr">
        <is>
          <t>Mañana</t>
        </is>
      </c>
      <c r="T198" s="16" t="inlineStr">
        <is>
          <t>Primavera–otoño; evitar tifones</t>
        </is>
      </c>
      <c r="U198" s="16" t="inlineStr">
        <is>
          <t>Bajo</t>
        </is>
      </c>
      <c r="V198" s="16" t="inlineStr">
        <is>
          <t>Bajo</t>
        </is>
      </c>
      <c r="W198" s="89" t="n">
        <v>8000</v>
      </c>
      <c r="X198" s="89" t="n">
        <v>18000</v>
      </c>
      <c r="Y198" s="89">
        <f>W198*'Configuración'!$B$4</f>
        <v/>
      </c>
      <c r="Z198" s="89">
        <f>X198*'Configuración'!$B$4</f>
        <v/>
      </c>
      <c r="AA198" s="16" t="inlineStr">
        <is>
          <t>Sí</t>
        </is>
      </c>
      <c r="AB198" s="16" t="inlineStr">
        <is>
          <t>Semanas</t>
        </is>
      </c>
      <c r="AC198" s="16" t="inlineStr">
        <is>
          <t>Según operador/marea</t>
        </is>
      </c>
      <c r="AD198" s="16" t="inlineStr">
        <is>
          <t>Clima/tifones</t>
        </is>
      </c>
      <c r="AE198" s="16" t="inlineStr">
        <is>
          <t>Ferry desde Ishigaki + tour</t>
        </is>
      </c>
      <c r="AF198" s="16" t="inlineStr">
        <is>
          <t>Buena en áreas principales; confirmar detalles con el recinto</t>
        </is>
      </c>
      <c r="AG198" s="90" t="n">
        <v>24.36</v>
      </c>
      <c r="AH198" s="90" t="n">
        <v>123.82</v>
      </c>
      <c r="AI198" s="16" t="inlineStr">
        <is>
          <t>https://visitokinawajapan.com/destinations/yaeyama-islands/iriomote-island/</t>
        </is>
      </c>
      <c r="AJ198" s="16" t="inlineStr">
        <is>
          <t>Cambiante</t>
        </is>
      </c>
      <c r="AK198" s="16" t="inlineStr">
        <is>
          <t>MUST SEE / ADVENTURE</t>
        </is>
      </c>
      <c r="AL198" s="16" t="inlineStr">
        <is>
          <t>aventura, naturaleza, fauna</t>
        </is>
      </c>
      <c r="AM198" s="91" t="n">
        <v>5</v>
      </c>
      <c r="AN198" s="91" t="n">
        <v>5</v>
      </c>
      <c r="AO198" s="91" t="n">
        <v>3</v>
      </c>
      <c r="AP198" s="91" t="n">
        <v>1</v>
      </c>
      <c r="AQ198" s="16" t="inlineStr">
        <is>
          <t>Imagen ideal: requiere guía responsable y conserva una escala de naturaleza real. con luz de mañana, sin multitudes dominando el encuadre.</t>
        </is>
      </c>
      <c r="AR198" s="16" t="inlineStr">
        <is>
          <t>Pinaisara Falls (~40 min en transporte)</t>
        </is>
      </c>
      <c r="AS198" s="16" t="inlineStr">
        <is>
          <t>Lugar conocido pero excelente</t>
        </is>
      </c>
      <c r="AT198" s="16" t="str"/>
      <c r="AU198" s="16" t="inlineStr">
        <is>
          <t>https://www.google.com/maps/search/?api=1&amp;query=Iriomote%20mangrove%20and%20jungle%20expedition%2C%20Taketomi%2C%20Japan</t>
        </is>
      </c>
      <c r="AV198" s="16" t="inlineStr">
        <is>
          <t>2026-09-01</t>
        </is>
      </c>
      <c r="AW198" s="16" t="inlineStr">
        <is>
          <t>RIESGO ESTACIONAL</t>
        </is>
      </c>
      <c r="AX198" s="16" t="inlineStr">
        <is>
          <t>Posibles nieve, hielo, barro, viento, cierres y menos horas de luz.</t>
        </is>
      </c>
      <c r="AY198" s="16" t="inlineStr">
        <is>
          <t>Revisar clima, sendero y último transporte 24–48 h antes.</t>
        </is>
      </c>
    </row>
    <row r="199" ht="66" customHeight="1">
      <c r="A199" s="16" t="inlineStr">
        <is>
          <t>JP-198</t>
        </is>
      </c>
      <c r="B199" s="16" t="inlineStr">
        <is>
          <t>Okinawa</t>
        </is>
      </c>
      <c r="C199" s="16" t="inlineStr">
        <is>
          <t>Okinawa</t>
        </is>
      </c>
      <c r="D199" s="16" t="inlineStr">
        <is>
          <t>Okinawa</t>
        </is>
      </c>
      <c r="E199" s="16" t="inlineStr">
        <is>
          <t>Taketomi</t>
        </is>
      </c>
      <c r="F199" s="16" t="inlineStr">
        <is>
          <t>Iriomote</t>
        </is>
      </c>
      <c r="G199" s="16" t="inlineStr">
        <is>
          <t>Yaeyama</t>
        </is>
      </c>
      <c r="H199" s="16" t="inlineStr">
        <is>
          <t>Pinaisara Falls</t>
        </is>
      </c>
      <c r="I199" s="16" t="inlineStr">
        <is>
          <t>ピナイサーラの滝</t>
        </is>
      </c>
      <c r="J199" s="16" t="inlineStr">
        <is>
          <t>Pinaisara Falls</t>
        </is>
      </c>
      <c r="K199" s="16" t="inlineStr">
        <is>
          <t>🥾 Senderismo/aventura</t>
        </is>
      </c>
      <c r="L199" s="16" t="inlineStr">
        <is>
          <t>cascada/kayak</t>
        </is>
      </c>
      <c r="M199" s="16" t="inlineStr">
        <is>
          <t>A</t>
        </is>
      </c>
      <c r="N199" s="16" t="inlineStr">
        <is>
          <t>Cascada emblemática de Iriomote alcanzada mediante manglar y selva. Clasificación v2: excelente y muy recomendable, pero no justifica por sí sola adaptar la ruta.</t>
        </is>
      </c>
      <c r="O199" s="16" t="inlineStr">
        <is>
          <t>Combinación guiada de kayak y trekking a la cascada más alta de Okinawa Prefecture.</t>
        </is>
      </c>
      <c r="P199" s="16" t="inlineStr">
        <is>
          <t>El acceso multimodal crea una aventura completa.</t>
        </is>
      </c>
      <c r="Q199" s="16" t="inlineStr">
        <is>
          <t>Combinación guiada de kayak y trekking a la cascada más alta de Okinawa Prefecture.</t>
        </is>
      </c>
      <c r="R199" s="16" t="inlineStr">
        <is>
          <t>5–7 h</t>
        </is>
      </c>
      <c r="S199" s="16" t="inlineStr">
        <is>
          <t>Mañana</t>
        </is>
      </c>
      <c r="T199" s="16" t="inlineStr">
        <is>
          <t>Temporada cálida estable</t>
        </is>
      </c>
      <c r="U199" s="16" t="inlineStr">
        <is>
          <t>Bajo</t>
        </is>
      </c>
      <c r="V199" s="16" t="inlineStr">
        <is>
          <t>Bajo</t>
        </is>
      </c>
      <c r="W199" s="89" t="n">
        <v>9000</v>
      </c>
      <c r="X199" s="89" t="n">
        <v>18000</v>
      </c>
      <c r="Y199" s="89">
        <f>W199*'Configuración'!$B$4</f>
        <v/>
      </c>
      <c r="Z199" s="89">
        <f>X199*'Configuración'!$B$4</f>
        <v/>
      </c>
      <c r="AA199" s="16" t="inlineStr">
        <is>
          <t>Sí</t>
        </is>
      </c>
      <c r="AB199" s="16" t="inlineStr">
        <is>
          <t>Semanas</t>
        </is>
      </c>
      <c r="AC199" s="16" t="inlineStr">
        <is>
          <t>Tours fijos</t>
        </is>
      </c>
      <c r="AD199" s="16" t="inlineStr">
        <is>
          <t>Clima/tifones</t>
        </is>
      </c>
      <c r="AE199" s="16" t="inlineStr">
        <is>
          <t>Tour desde Uehara</t>
        </is>
      </c>
      <c r="AF199" s="16" t="inlineStr">
        <is>
          <t>Parcial o baja; terreno irregular y condiciones naturales</t>
        </is>
      </c>
      <c r="AG199" s="90" t="n">
        <v>24.3852</v>
      </c>
      <c r="AH199" s="90" t="n">
        <v>123.8246</v>
      </c>
      <c r="AI199" s="16" t="inlineStr">
        <is>
          <t>https://visitokinawajapan.com/</t>
        </is>
      </c>
      <c r="AJ199" s="16" t="inlineStr">
        <is>
          <t>Cambiante</t>
        </is>
      </c>
      <c r="AK199" s="16" t="inlineStr">
        <is>
          <t>ADVENTURE</t>
        </is>
      </c>
      <c r="AL199" s="16" t="inlineStr">
        <is>
          <t>aventura, naturaleza, fotografía</t>
        </is>
      </c>
      <c r="AM199" s="91" t="n">
        <v>5</v>
      </c>
      <c r="AN199" s="91" t="n">
        <v>5</v>
      </c>
      <c r="AO199" s="91" t="n">
        <v>4</v>
      </c>
      <c r="AP199" s="91" t="n">
        <v>1</v>
      </c>
      <c r="AQ199" s="16" t="inlineStr">
        <is>
          <t>Imagen ideal: el acceso multimodal crea una aventura completa. con luz de mañana, sin multitudes dominando el encuadre.</t>
        </is>
      </c>
      <c r="AR199" s="16" t="inlineStr">
        <is>
          <t>Iriomote mangrove and jungle expedition (~40 min en transporte)</t>
        </is>
      </c>
      <c r="AS199" s="16" t="inlineStr">
        <is>
          <t>Hidden Gem real</t>
        </is>
      </c>
      <c r="AT199" s="16" t="str"/>
      <c r="AU199" s="16" t="inlineStr">
        <is>
          <t>https://www.google.com/maps/search/?api=1&amp;query=Pinaisara%20Falls%2C%20Taketomi%2C%20Japan</t>
        </is>
      </c>
      <c r="AV199" s="16" t="inlineStr">
        <is>
          <t>2026-09-01</t>
        </is>
      </c>
      <c r="AW199" s="16" t="inlineStr">
        <is>
          <t>RIESGO ESTACIONAL</t>
        </is>
      </c>
      <c r="AX199" s="16" t="inlineStr">
        <is>
          <t>Posibles nieve, hielo, barro, viento, cierres y menos horas de luz.</t>
        </is>
      </c>
      <c r="AY199" s="16" t="inlineStr">
        <is>
          <t>Revisar clima, sendero y último transporte 24–48 h antes.</t>
        </is>
      </c>
    </row>
    <row r="200" ht="66" customHeight="1">
      <c r="A200" s="16" t="inlineStr">
        <is>
          <t>JP-199</t>
        </is>
      </c>
      <c r="B200" s="16" t="inlineStr">
        <is>
          <t>Okinawa</t>
        </is>
      </c>
      <c r="C200" s="16" t="inlineStr">
        <is>
          <t>Okinawa</t>
        </is>
      </c>
      <c r="D200" s="16" t="inlineStr">
        <is>
          <t>Okinawa</t>
        </is>
      </c>
      <c r="E200" s="16" t="inlineStr">
        <is>
          <t>Taketomi</t>
        </is>
      </c>
      <c r="F200" s="16" t="inlineStr">
        <is>
          <t>Hateruma</t>
        </is>
      </c>
      <c r="G200" s="16" t="inlineStr">
        <is>
          <t>Yaeyama</t>
        </is>
      </c>
      <c r="H200" s="16" t="inlineStr">
        <is>
          <t>Hateruma Island</t>
        </is>
      </c>
      <c r="I200" s="16" t="inlineStr">
        <is>
          <t>波照間島</t>
        </is>
      </c>
      <c r="J200" s="16" t="inlineStr">
        <is>
          <t>Hateruma Island</t>
        </is>
      </c>
      <c r="K200" s="16" t="inlineStr">
        <is>
          <t>🌊 Playa/mar/islas</t>
        </is>
      </c>
      <c r="L200" s="16" t="inlineStr">
        <is>
          <t>isla remota</t>
        </is>
      </c>
      <c r="M200" s="16" t="inlineStr">
        <is>
          <t>B</t>
        </is>
      </c>
      <c r="N200" s="16" t="inlineStr">
        <is>
          <t>Punto habitado más meridional de Japón, mar intenso y cielo excepcional; ferry inestable. Clasificación v2: recomendable si encaja; su valor depende más de interés, saturación o logística.</t>
        </is>
      </c>
      <c r="O200" s="16" t="inlineStr">
        <is>
          <t>Isla remota con Nishihama Beach y observatorio estelar.</t>
        </is>
      </c>
      <c r="P200" s="16" t="inlineStr">
        <is>
          <t>El aislamiento es parte del valor y del riesgo logístico.</t>
        </is>
      </c>
      <c r="Q200" s="16" t="inlineStr">
        <is>
          <t>Isla remota con Nishihama Beach y observatorio estelar.</t>
        </is>
      </c>
      <c r="R200" s="16" t="inlineStr">
        <is>
          <t>1–2 noches</t>
        </is>
      </c>
      <c r="S200" s="16" t="inlineStr">
        <is>
          <t>Mañana</t>
        </is>
      </c>
      <c r="T200" s="16" t="inlineStr">
        <is>
          <t>Mar estable; primavera–otoño</t>
        </is>
      </c>
      <c r="U200" s="16" t="inlineStr">
        <is>
          <t>Bajo</t>
        </is>
      </c>
      <c r="V200" s="16" t="inlineStr">
        <is>
          <t>Bajo</t>
        </is>
      </c>
      <c r="W200" s="89" t="n">
        <v>7000</v>
      </c>
      <c r="X200" s="89" t="n">
        <v>14000</v>
      </c>
      <c r="Y200" s="89">
        <f>W200*'Configuración'!$B$4</f>
        <v/>
      </c>
      <c r="Z200" s="89">
        <f>X200*'Configuración'!$B$4</f>
        <v/>
      </c>
      <c r="AA200" s="16" t="inlineStr">
        <is>
          <t>Sí</t>
        </is>
      </c>
      <c r="AB200" s="16" t="inlineStr">
        <is>
          <t>Alojamiento y ferry semanas</t>
        </is>
      </c>
      <c r="AC200" s="16" t="inlineStr">
        <is>
          <t>Ferry variable</t>
        </is>
      </c>
      <c r="AD200" s="16" t="inlineStr">
        <is>
          <t>Cancelaciones frecuentes por oleaje</t>
        </is>
      </c>
      <c r="AE200" s="16" t="inlineStr">
        <is>
          <t>Ferry desde Ishigaki</t>
        </is>
      </c>
      <c r="AF200" s="16" t="inlineStr">
        <is>
          <t>Parcial o baja; terreno irregular y condiciones naturales</t>
        </is>
      </c>
      <c r="AG200" s="90" t="n">
        <v>24.056</v>
      </c>
      <c r="AH200" s="90" t="n">
        <v>123.779</v>
      </c>
      <c r="AI200" s="16" t="inlineStr">
        <is>
          <t>https://visitokinawajapan.com/</t>
        </is>
      </c>
      <c r="AJ200" s="16" t="inlineStr">
        <is>
          <t>Cambiante</t>
        </is>
      </c>
      <c r="AK200" s="16" t="inlineStr">
        <is>
          <t>REMOTE / OVERNIGHT</t>
        </is>
      </c>
      <c r="AL200" s="16" t="inlineStr">
        <is>
          <t>pareja, playa, astronomía, fotografía</t>
        </is>
      </c>
      <c r="AM200" s="91" t="n">
        <v>5</v>
      </c>
      <c r="AN200" s="91" t="n">
        <v>5</v>
      </c>
      <c r="AO200" s="91" t="n">
        <v>2</v>
      </c>
      <c r="AP200" s="91" t="n">
        <v>1</v>
      </c>
      <c r="AQ200" s="16" t="inlineStr">
        <is>
          <t>Imagen ideal: el aislamiento es parte del valor y del riesgo logístico. con luz de mañana, sin multitudes dominando el encuadre.</t>
        </is>
      </c>
      <c r="AR200" s="16" t="str"/>
      <c r="AS200" s="16" t="inlineStr">
        <is>
          <t>Hidden Gem real</t>
        </is>
      </c>
      <c r="AT200" s="16" t="str"/>
      <c r="AU200" s="16" t="inlineStr">
        <is>
          <t>https://www.google.com/maps/search/?api=1&amp;query=Hateruma%20Island%2C%20Taketomi%2C%20Japan</t>
        </is>
      </c>
      <c r="AV200" s="16" t="inlineStr">
        <is>
          <t>2026-09-01</t>
        </is>
      </c>
      <c r="AW200" s="16" t="inlineStr">
        <is>
          <t>VARIABLE POR MAR</t>
        </is>
      </c>
      <c r="AX200" s="16" t="inlineStr">
        <is>
          <t>Agua más fresca, viento y servicios de playa reducidos; ferries/tours pueden cancelarse.</t>
        </is>
      </c>
      <c r="AY200" s="16" t="inlineStr">
        <is>
          <t>Revisar oleaje, bandera y transporte 24–48 h antes; valorar neopreno.</t>
        </is>
      </c>
    </row>
    <row r="201" ht="66" customHeight="1">
      <c r="A201" s="16" t="inlineStr">
        <is>
          <t>JP-200</t>
        </is>
      </c>
      <c r="B201" s="16" t="inlineStr">
        <is>
          <t>Okinawa</t>
        </is>
      </c>
      <c r="C201" s="16" t="inlineStr">
        <is>
          <t>Okinawa</t>
        </is>
      </c>
      <c r="D201" s="16" t="inlineStr">
        <is>
          <t>Okinawa</t>
        </is>
      </c>
      <c r="E201" s="16" t="inlineStr">
        <is>
          <t>Yonaguni</t>
        </is>
      </c>
      <c r="F201" s="16" t="inlineStr">
        <is>
          <t>Yonaguni</t>
        </is>
      </c>
      <c r="G201" s="16" t="inlineStr">
        <is>
          <t>Yaeyama</t>
        </is>
      </c>
      <c r="H201" s="16" t="inlineStr">
        <is>
          <t>Yonaguni Island and underwater monument dive</t>
        </is>
      </c>
      <c r="I201" s="16" t="inlineStr">
        <is>
          <t>与那国島・海底地形</t>
        </is>
      </c>
      <c r="J201" s="16" t="inlineStr">
        <is>
          <t>Yonaguni Island and underwater monument dive</t>
        </is>
      </c>
      <c r="K201" s="16" t="inlineStr">
        <is>
          <t>🥾 Senderismo/aventura</t>
        </is>
      </c>
      <c r="L201" s="16" t="inlineStr">
        <is>
          <t>isla/buceo avanzado</t>
        </is>
      </c>
      <c r="M201" s="16" t="inlineStr">
        <is>
          <t>A</t>
        </is>
      </c>
      <c r="N201" s="16" t="inlineStr">
        <is>
          <t>Una de las experiencias más remotas y peculiares de Japón para buzos experimentados. Clasificación v2: excelente y muy recomendable, pero no justifica por sí sola adaptar la ruta.</t>
        </is>
      </c>
      <c r="O201" s="16" t="inlineStr">
        <is>
          <t>Isla occidental con acantilados, caballos y formación submarina monumental.</t>
        </is>
      </c>
      <c r="P201" s="16" t="inlineStr">
        <is>
          <t>Combina frontera geográfica, corrientes fuertes y misterio geológico.</t>
        </is>
      </c>
      <c r="Q201" s="16" t="inlineStr">
        <is>
          <t>Isla occidental con acantilados, caballos y formación submarina monumental.</t>
        </is>
      </c>
      <c r="R201" s="16" t="inlineStr">
        <is>
          <t>2–4 noches</t>
        </is>
      </c>
      <c r="S201" s="16" t="inlineStr">
        <is>
          <t>Mañana</t>
        </is>
      </c>
      <c r="T201" s="16" t="inlineStr">
        <is>
          <t>Invierno para tiburón martillo; mar según nivel</t>
        </is>
      </c>
      <c r="U201" s="16" t="inlineStr">
        <is>
          <t>Bajo</t>
        </is>
      </c>
      <c r="V201" s="16" t="inlineStr">
        <is>
          <t>Bajo</t>
        </is>
      </c>
      <c r="W201" s="89" t="n">
        <v>15000</v>
      </c>
      <c r="X201" s="89" t="n">
        <v>40000</v>
      </c>
      <c r="Y201" s="89">
        <f>W201*'Configuración'!$B$4</f>
        <v/>
      </c>
      <c r="Z201" s="89">
        <f>X201*'Configuración'!$B$4</f>
        <v/>
      </c>
      <c r="AA201" s="16" t="inlineStr">
        <is>
          <t>Sí</t>
        </is>
      </c>
      <c r="AB201" s="16" t="inlineStr">
        <is>
          <t>Meses para vuelos/buceo</t>
        </is>
      </c>
      <c r="AC201" s="16" t="inlineStr">
        <is>
          <t>Según operador</t>
        </is>
      </c>
      <c r="AD201" s="16" t="inlineStr">
        <is>
          <t>Clima/corrientes</t>
        </is>
      </c>
      <c r="AE201" s="16" t="inlineStr">
        <is>
          <t>Vuelo desde Ishigaki/Naha</t>
        </is>
      </c>
      <c r="AF201" s="16" t="inlineStr">
        <is>
          <t>Parcial o baja; terreno irregular y condiciones naturales</t>
        </is>
      </c>
      <c r="AG201" s="90" t="n">
        <v>24.4614</v>
      </c>
      <c r="AH201" s="90" t="n">
        <v>122.9937</v>
      </c>
      <c r="AI201" s="16" t="inlineStr">
        <is>
          <t>https://visitokinawajapan.com/</t>
        </is>
      </c>
      <c r="AJ201" s="16" t="inlineStr">
        <is>
          <t>Cambiante</t>
        </is>
      </c>
      <c r="AK201" s="16" t="inlineStr">
        <is>
          <t>UNIQUE / ADVANCED</t>
        </is>
      </c>
      <c r="AL201" s="16" t="inlineStr">
        <is>
          <t>buceo, aventura, fotografía, naturaleza</t>
        </is>
      </c>
      <c r="AM201" s="91" t="n">
        <v>5</v>
      </c>
      <c r="AN201" s="91" t="n">
        <v>5</v>
      </c>
      <c r="AO201" s="91" t="n">
        <v>2</v>
      </c>
      <c r="AP201" s="91" t="n">
        <v>1</v>
      </c>
      <c r="AQ201" s="16" t="inlineStr">
        <is>
          <t>Imagen ideal: combina frontera geográfica, corrientes fuertes y misterio geológico. con luz de mañana, sin multitudes dominando el encuadre.</t>
        </is>
      </c>
      <c r="AR201" s="16" t="str"/>
      <c r="AS201" s="16" t="inlineStr">
        <is>
          <t>Hidden Gem real</t>
        </is>
      </c>
      <c r="AT201" s="16" t="str"/>
      <c r="AU201" s="16" t="inlineStr">
        <is>
          <t>https://www.google.com/maps/search/?api=1&amp;query=Yonaguni%20Island%20and%20underwater%20monument%20dive%2C%20Yonaguni%2C%20Japan</t>
        </is>
      </c>
      <c r="AV201" s="16" t="inlineStr">
        <is>
          <t>2026-09-01</t>
        </is>
      </c>
      <c r="AW201" s="16" t="inlineStr">
        <is>
          <t>OPORTUNIDAD / AVANZADO</t>
        </is>
      </c>
      <c r="AX201" s="16" t="inlineStr">
        <is>
          <t>Febrero coincide con temporada de martillos, pero hay corrientes y mar exigentes.</t>
        </is>
      </c>
      <c r="AY201" s="16" t="inlineStr">
        <is>
          <t>Solo con certificación/nivel adecuado; reservar operador y vuelos.</t>
        </is>
      </c>
    </row>
    <row r="202" ht="66" customHeight="1">
      <c r="A202" s="16" t="inlineStr">
        <is>
          <t>JP-201</t>
        </is>
      </c>
      <c r="B202" s="16" t="inlineStr">
        <is>
          <t>Okinawa</t>
        </is>
      </c>
      <c r="C202" s="16" t="inlineStr">
        <is>
          <t>Okinawa</t>
        </is>
      </c>
      <c r="D202" s="16" t="inlineStr">
        <is>
          <t>Okinawa</t>
        </is>
      </c>
      <c r="E202" s="16" t="inlineStr">
        <is>
          <t>Kumejima</t>
        </is>
      </c>
      <c r="F202" s="16" t="inlineStr">
        <is>
          <t>Kume</t>
        </is>
      </c>
      <c r="G202" s="16" t="inlineStr">
        <is>
          <t>Kume Island</t>
        </is>
      </c>
      <c r="H202" s="16" t="inlineStr">
        <is>
          <t>Hatenohama</t>
        </is>
      </c>
      <c r="I202" s="16" t="inlineStr">
        <is>
          <t>はての浜</t>
        </is>
      </c>
      <c r="J202" s="16" t="inlineStr">
        <is>
          <t>Hatenohama</t>
        </is>
      </c>
      <c r="K202" s="16" t="inlineStr">
        <is>
          <t>🌊 Playa/mar/islas</t>
        </is>
      </c>
      <c r="L202" s="16" t="inlineStr">
        <is>
          <t>banco de arena/tour</t>
        </is>
      </c>
      <c r="M202" s="16" t="inlineStr">
        <is>
          <t>A</t>
        </is>
      </c>
      <c r="N202" s="16" t="inlineStr">
        <is>
          <t>Banco de arena aislado rodeado por agua turquesa: una de las imágenes marinas más puras de Okinawa. Clasificación v2: excelente y muy recomendable, pero no justifica por sí sola adaptar la ruta.</t>
        </is>
      </c>
      <c r="O202" s="16" t="inlineStr">
        <is>
          <t>Franja de arena de varios kilómetros frente a Kume Island.</t>
        </is>
      </c>
      <c r="P202" s="16" t="inlineStr">
        <is>
          <t>No hay urbanización ni sombra; la experiencia depende totalmente del mar.</t>
        </is>
      </c>
      <c r="Q202" s="16" t="inlineStr">
        <is>
          <t>Franja de arena de varios kilómetros frente a Kume Island.</t>
        </is>
      </c>
      <c r="R202" s="16" t="inlineStr">
        <is>
          <t>Medio día</t>
        </is>
      </c>
      <c r="S202" s="16" t="inlineStr">
        <is>
          <t>Mañana</t>
        </is>
      </c>
      <c r="T202" s="16" t="inlineStr">
        <is>
          <t>Mar calmado</t>
        </is>
      </c>
      <c r="U202" s="16" t="inlineStr">
        <is>
          <t>Medio</t>
        </is>
      </c>
      <c r="V202" s="16" t="inlineStr">
        <is>
          <t>Medio</t>
        </is>
      </c>
      <c r="W202" s="89" t="n">
        <v>4000</v>
      </c>
      <c r="X202" s="89" t="n">
        <v>9000</v>
      </c>
      <c r="Y202" s="89">
        <f>W202*'Configuración'!$B$4</f>
        <v/>
      </c>
      <c r="Z202" s="89">
        <f>X202*'Configuración'!$B$4</f>
        <v/>
      </c>
      <c r="AA202" s="16" t="inlineStr">
        <is>
          <t>Sí</t>
        </is>
      </c>
      <c r="AB202" s="16" t="inlineStr">
        <is>
          <t>Días/semanas</t>
        </is>
      </c>
      <c r="AC202" s="16" t="inlineStr">
        <is>
          <t>Tours variables</t>
        </is>
      </c>
      <c r="AD202" s="16" t="inlineStr">
        <is>
          <t>Clima/tifones</t>
        </is>
      </c>
      <c r="AE202" s="16" t="inlineStr">
        <is>
          <t>Barco desde Kume</t>
        </is>
      </c>
      <c r="AF202" s="16" t="inlineStr">
        <is>
          <t>Buena en áreas principales; confirmar detalles con el recinto</t>
        </is>
      </c>
      <c r="AG202" s="90" t="n">
        <v>26.3495</v>
      </c>
      <c r="AH202" s="90" t="n">
        <v>126.925</v>
      </c>
      <c r="AI202" s="16" t="inlineStr">
        <is>
          <t>https://visitokinawajapan.com/destinations/kume-island/</t>
        </is>
      </c>
      <c r="AJ202" s="16" t="inlineStr">
        <is>
          <t>Cambiante</t>
        </is>
      </c>
      <c r="AK202" s="16" t="inlineStr">
        <is>
          <t>MUST SEE / SEA</t>
        </is>
      </c>
      <c r="AL202" s="16" t="inlineStr">
        <is>
          <t>pareja, playa, fotografía</t>
        </is>
      </c>
      <c r="AM202" s="91" t="n">
        <v>5</v>
      </c>
      <c r="AN202" s="91" t="n">
        <v>5</v>
      </c>
      <c r="AO202" s="91" t="n">
        <v>4</v>
      </c>
      <c r="AP202" s="91" t="n">
        <v>2</v>
      </c>
      <c r="AQ202" s="16" t="inlineStr">
        <is>
          <t>Imagen ideal: no hay urbanización ni sombra; la experiencia depende totalmente del mar. con luz de mañana, sin multitudes dominando el encuadre.</t>
        </is>
      </c>
      <c r="AR202" s="16" t="str"/>
      <c r="AS202" s="16" t="inlineStr">
        <is>
          <t>Semi-hidden</t>
        </is>
      </c>
      <c r="AT202" s="16" t="str"/>
      <c r="AU202" s="16" t="inlineStr">
        <is>
          <t>https://www.google.com/maps/search/?api=1&amp;query=Hatenohama%2C%20Kumejima%2C%20Japan</t>
        </is>
      </c>
      <c r="AV202" s="16" t="inlineStr">
        <is>
          <t>2026-09-01</t>
        </is>
      </c>
      <c r="AW202" s="16" t="inlineStr">
        <is>
          <t>VARIABLE POR MAR</t>
        </is>
      </c>
      <c r="AX202" s="16" t="inlineStr">
        <is>
          <t>Agua más fresca, viento y servicios de playa reducidos; ferries/tours pueden cancelarse.</t>
        </is>
      </c>
      <c r="AY202" s="16" t="inlineStr">
        <is>
          <t>Revisar oleaje, bandera y transporte 24–48 h antes; valorar neopreno.</t>
        </is>
      </c>
    </row>
    <row r="203" ht="66" customHeight="1">
      <c r="A203" s="16" t="inlineStr">
        <is>
          <t>JP-202</t>
        </is>
      </c>
      <c r="B203" s="16" t="inlineStr">
        <is>
          <t>Okinawa</t>
        </is>
      </c>
      <c r="C203" s="16" t="inlineStr">
        <is>
          <t>Okinawa</t>
        </is>
      </c>
      <c r="D203" s="16" t="inlineStr">
        <is>
          <t>Okinawa</t>
        </is>
      </c>
      <c r="E203" s="16" t="inlineStr">
        <is>
          <t>Naha</t>
        </is>
      </c>
      <c r="F203" s="16" t="inlineStr">
        <is>
          <t>Tomari</t>
        </is>
      </c>
      <c r="G203" s="16" t="inlineStr">
        <is>
          <t>Naha–Kerama</t>
        </is>
      </c>
      <c r="H203" s="16" t="inlineStr">
        <is>
          <t>Whale watching in the Kerama waters</t>
        </is>
      </c>
      <c r="I203" s="16" t="inlineStr">
        <is>
          <t>慶良間海域ホエールウォッチング</t>
        </is>
      </c>
      <c r="J203" s="16" t="inlineStr">
        <is>
          <t>Whale watching in the Kerama waters</t>
        </is>
      </c>
      <c r="K203" s="16" t="inlineStr">
        <is>
          <t>🐋 Fauna y experiencias estacionales</t>
        </is>
      </c>
      <c r="L203" s="16" t="inlineStr">
        <is>
          <t>excursión en barco</t>
        </is>
      </c>
      <c r="M203" s="16" t="inlineStr">
        <is>
          <t>A</t>
        </is>
      </c>
      <c r="N203" s="16" t="inlineStr">
        <is>
          <t>Febrero y marzo coinciden con la principal temporada de ballena jorobada en Okinawa. Clasificación v2: excelente y muy recomendable, pero no justifica por sí sola adaptar la ruta.</t>
        </is>
      </c>
      <c r="O203" s="16" t="inlineStr">
        <is>
          <t>Salidas desde Naha o Kerama para observar migración, saltos y colas en mar abierto.</t>
        </is>
      </c>
      <c r="P203" s="16" t="inlineStr">
        <is>
          <t>Es una oportunidad estacional real que no existe con la misma fiabilidad el resto del año.</t>
        </is>
      </c>
      <c r="Q203" s="16" t="inlineStr">
        <is>
          <t>Salidas desde Naha o Kerama para observar migración, saltos y colas en mar abierto.</t>
        </is>
      </c>
      <c r="R203" s="16" t="inlineStr">
        <is>
          <t>Medio día</t>
        </is>
      </c>
      <c r="S203" s="16" t="inlineStr">
        <is>
          <t>Mañana</t>
        </is>
      </c>
      <c r="T203" s="16" t="inlineStr">
        <is>
          <t>Enero–marzo; punto fuerte en febrero–marzo</t>
        </is>
      </c>
      <c r="U203" s="16" t="inlineStr">
        <is>
          <t>Alto</t>
        </is>
      </c>
      <c r="V203" s="16" t="inlineStr">
        <is>
          <t>Medio</t>
        </is>
      </c>
      <c r="W203" s="89" t="n">
        <v>4500</v>
      </c>
      <c r="X203" s="89" t="n">
        <v>8000</v>
      </c>
      <c r="Y203" s="89">
        <f>W203*'Configuración'!$B$4</f>
        <v/>
      </c>
      <c r="Z203" s="89">
        <f>X203*'Configuración'!$B$4</f>
        <v/>
      </c>
      <c r="AA203" s="16" t="inlineStr">
        <is>
          <t>Sí</t>
        </is>
      </c>
      <c r="AB203" s="16" t="inlineStr">
        <is>
          <t>1–3 semanas; antes en fines de semana</t>
        </is>
      </c>
      <c r="AC203" s="16" t="inlineStr">
        <is>
          <t>Según operador, normalmente mañana y tarde</t>
        </is>
      </c>
      <c r="AD203" s="16" t="inlineStr">
        <is>
          <t>Cancelación por oleaje o viento</t>
        </is>
      </c>
      <c r="AE203" s="16" t="inlineStr">
        <is>
          <t>Puerto Tomari o traslado del operador</t>
        </is>
      </c>
      <c r="AF203" s="16" t="inlineStr">
        <is>
          <t>Buena en áreas principales; confirmar detalles con el recinto</t>
        </is>
      </c>
      <c r="AG203" s="90" t="n">
        <v>26.2292</v>
      </c>
      <c r="AH203" s="90" t="n">
        <v>127.679</v>
      </c>
      <c r="AI203" s="16" t="inlineStr">
        <is>
          <t>https://visitokinawajapan.com/travel-inspiration/whale-watching-in-okinawa/</t>
        </is>
      </c>
      <c r="AJ203" s="16" t="inlineStr">
        <is>
          <t>Verificado</t>
        </is>
      </c>
      <c r="AK203" s="16" t="inlineStr">
        <is>
          <t>SEASONAL MUST / WILDLIFE</t>
        </is>
      </c>
      <c r="AL203" s="16" t="inlineStr">
        <is>
          <t>pareja, fauna, fotografía, mar</t>
        </is>
      </c>
      <c r="AM203" s="91" t="n">
        <v>5</v>
      </c>
      <c r="AN203" s="91" t="n">
        <v>5</v>
      </c>
      <c r="AO203" s="91" t="n">
        <v>5</v>
      </c>
      <c r="AP203" s="91" t="n">
        <v>3</v>
      </c>
      <c r="AQ203" s="16" t="inlineStr">
        <is>
          <t>Imagen ideal: es una oportunidad estacional real que no existe con la misma fiabilidad el resto del año. con luz de mañana, sin multitudes dominando el encuadre.</t>
        </is>
      </c>
      <c r="AR203" s="16" t="inlineStr">
        <is>
          <t>Okinawa Prefectural Museum &amp; Art Museum (~21 min a pie) | Kokusai Street (~23 min a pie) | First Makishi Public Market (~26 min en transporte)</t>
        </is>
      </c>
      <c r="AS203" s="16" t="inlineStr">
        <is>
          <t>Semi-hidden</t>
        </is>
      </c>
      <c r="AT203" s="16" t="str"/>
      <c r="AU203" s="16" t="inlineStr">
        <is>
          <t>https://www.google.com/maps/search/?api=1&amp;query=Whale%20watching%20in%20the%20Kerama%20waters%2C%20Naha%2C%20Japan</t>
        </is>
      </c>
      <c r="AV203" s="16" t="inlineStr">
        <is>
          <t>2026-09-01</t>
        </is>
      </c>
      <c r="AW203" s="16" t="inlineStr">
        <is>
          <t>OPORTUNIDAD ESTACIONAL FUERTE</t>
        </is>
      </c>
      <c r="AX203" s="16" t="inlineStr">
        <is>
          <t>Febrero–marzo coincide con la temporada principal de ballena jorobada.</t>
        </is>
      </c>
      <c r="AY203" s="16" t="inlineStr">
        <is>
          <t>Reservar y mantener alternativa por cancelación marítima.</t>
        </is>
      </c>
    </row>
    <row r="204">
      <c r="A204" s="76" t="inlineStr">
        <is>
          <t>JP-203</t>
        </is>
      </c>
      <c r="B204" s="76" t="inlineStr">
        <is>
          <t>Tokio</t>
        </is>
      </c>
      <c r="C204" s="76" t="inlineStr">
        <is>
          <t>Kanto</t>
        </is>
      </c>
      <c r="D204" s="76" t="inlineStr">
        <is>
          <t>Chiba</t>
        </is>
      </c>
      <c r="E204" s="76" t="inlineStr">
        <is>
          <t>Urayasu</t>
        </is>
      </c>
      <c r="F204" s="76" t="inlineStr">
        <is>
          <t>Maihama</t>
        </is>
      </c>
      <c r="G204" s="76" t="inlineStr">
        <is>
          <t>Tokyo Disney Resort</t>
        </is>
      </c>
      <c r="H204" s="76" t="inlineStr">
        <is>
          <t>Tokyo Disneyland</t>
        </is>
      </c>
      <c r="I204" s="76" t="inlineStr">
        <is>
          <t>東京ディズニーランド</t>
        </is>
      </c>
      <c r="J204" s="76" t="inlineStr">
        <is>
          <t>Tokyo Disneyland</t>
        </is>
      </c>
      <c r="K204" s="76" t="inlineStr">
        <is>
          <t>🎢 Entretenimiento</t>
        </is>
      </c>
      <c r="L204" s="76" t="inlineStr">
        <is>
          <t>parque temático</t>
        </is>
      </c>
      <c r="M204" s="76" t="inlineStr">
        <is>
          <t>S</t>
        </is>
      </c>
      <c r="N204" s="75" t="inlineStr">
        <is>
          <t>Parque Disney de referencia en Japón; puede justificar un día completo para fans.</t>
        </is>
      </c>
      <c r="O204" s="75" t="inlineStr">
        <is>
          <t>Parque clásico de Disney con ejecución y cultura operativa japonesas.</t>
        </is>
      </c>
      <c r="P204" s="75" t="inlineStr">
        <is>
          <t>Contrasta con DisneySea por su iconografía clásica y público familiar.</t>
        </is>
      </c>
      <c r="Q204" s="75" t="inlineStr">
        <is>
          <t>Atracciones, desfiles, espectáculos y ambientación temática.</t>
        </is>
      </c>
      <c r="R204" s="75" t="inlineStr">
        <is>
          <t>Día completo</t>
        </is>
      </c>
      <c r="S204" s="75" t="inlineStr">
        <is>
          <t>Apertura</t>
        </is>
      </c>
      <c r="T204" s="75" t="inlineStr">
        <is>
          <t>Todo el año; calendario estacional</t>
        </is>
      </c>
      <c r="U204" s="75" t="inlineStr">
        <is>
          <t>Extremo</t>
        </is>
      </c>
      <c r="V204" s="75" t="inlineStr">
        <is>
          <t>Extremo</t>
        </is>
      </c>
      <c r="W204" s="92" t="n">
        <v>7900</v>
      </c>
      <c r="X204" s="92" t="n">
        <v>10900</v>
      </c>
      <c r="Y204" s="92">
        <f>W204*'Configuración'!$B$4</f>
        <v/>
      </c>
      <c r="Z204" s="92">
        <f>X204*'Configuración'!$B$4</f>
        <v/>
      </c>
      <c r="AA204" s="75" t="inlineStr">
        <is>
          <t>Sí</t>
        </is>
      </c>
      <c r="AB204" s="75" t="inlineStr">
        <is>
          <t>1–2 meses; venta oficial</t>
        </is>
      </c>
      <c r="AC204" s="75" t="inlineStr">
        <is>
          <t>Calendario variable</t>
        </is>
      </c>
      <c r="AD204" s="75" t="inlineStr">
        <is>
          <t>Mantenimientos programados</t>
        </is>
      </c>
      <c r="AE204" s="75" t="inlineStr">
        <is>
          <t>JR Maihama / Disney Resort Line</t>
        </is>
      </c>
      <c r="AF204" s="75" t="inlineStr">
        <is>
          <t>Buena; confirmar restricciones por atracción</t>
        </is>
      </c>
      <c r="AG204" s="75" t="n">
        <v>35.6329</v>
      </c>
      <c r="AH204" s="75" t="n">
        <v>139.8804</v>
      </c>
      <c r="AI204" s="75" t="inlineStr">
        <is>
          <t>https://www.tokyodisneyresort.jp/en/tdl/</t>
        </is>
      </c>
      <c r="AJ204" s="75" t="inlineStr">
        <is>
          <t>Requiere revisión cerca del viaje</t>
        </is>
      </c>
      <c r="AK204" s="75" t="inlineStr">
        <is>
          <t>THEME PARK</t>
        </is>
      </c>
      <c r="AL204" s="75" t="inlineStr">
        <is>
          <t>Disney, familias, entretenimiento</t>
        </is>
      </c>
      <c r="AM204" s="75" t="n">
        <v>5</v>
      </c>
      <c r="AN204" s="75" t="n">
        <v>4</v>
      </c>
      <c r="AO204" s="75" t="n">
        <v>4</v>
      </c>
      <c r="AP204" s="75" t="n">
        <v>5</v>
      </c>
      <c r="AQ204" s="75" t="inlineStr">
        <is>
          <t>Imagen recomendada: castillo y desfile con luz de tarde.</t>
        </is>
      </c>
      <c r="AR204" s="75" t="inlineStr">
        <is>
          <t>Tokyo DisneySea (~10 min en monorraíl)</t>
        </is>
      </c>
      <c r="AS204" s="75" t="inlineStr">
        <is>
          <t>Popular / turístico</t>
        </is>
      </c>
      <c r="AT204" s="75" t="inlineStr">
        <is>
          <t>Tokyo DisneySea</t>
        </is>
      </c>
      <c r="AU204" s="75" t="inlineStr">
        <is>
          <t>https://www.google.com/maps/search/?api=1&amp;query=Tokyo%20Disneyland%20Urayasu%20Japan</t>
        </is>
      </c>
      <c r="AV204" s="75" t="inlineStr">
        <is>
          <t>2026-09-01</t>
        </is>
      </c>
      <c r="AW204" s="75" t="inlineStr">
        <is>
          <t>CALENDARIO 2027 PENDIENTE</t>
        </is>
      </c>
      <c r="AX204" s="75" t="inlineStr">
        <is>
          <t>Mantenimientos y eventos de febrero–marzo aún pueden cambiar.</t>
        </is>
      </c>
      <c r="AY204" s="75" t="inlineStr">
        <is>
          <t>Revisar calendario y venta al definir fechas.</t>
        </is>
      </c>
    </row>
    <row r="205">
      <c r="A205" s="76" t="inlineStr">
        <is>
          <t>JP-204</t>
        </is>
      </c>
      <c r="B205" s="76" t="inlineStr">
        <is>
          <t>Tokio</t>
        </is>
      </c>
      <c r="C205" s="76" t="inlineStr">
        <is>
          <t>Kanto</t>
        </is>
      </c>
      <c r="D205" s="76" t="inlineStr">
        <is>
          <t>Chiba</t>
        </is>
      </c>
      <c r="E205" s="76" t="inlineStr">
        <is>
          <t>Urayasu</t>
        </is>
      </c>
      <c r="F205" s="76" t="inlineStr">
        <is>
          <t>Maihama</t>
        </is>
      </c>
      <c r="G205" s="76" t="inlineStr">
        <is>
          <t>Tokyo Disney Resort</t>
        </is>
      </c>
      <c r="H205" s="76" t="inlineStr">
        <is>
          <t>Tokyo DisneySea</t>
        </is>
      </c>
      <c r="I205" s="76" t="inlineStr">
        <is>
          <t>東京ディズニーシー</t>
        </is>
      </c>
      <c r="J205" s="76" t="inlineStr">
        <is>
          <t>Tokyo DisneySea</t>
        </is>
      </c>
      <c r="K205" s="76" t="inlineStr">
        <is>
          <t>🎢 Entretenimiento</t>
        </is>
      </c>
      <c r="L205" s="76" t="inlineStr">
        <is>
          <t>parque temático</t>
        </is>
      </c>
      <c r="M205" s="76" t="inlineStr">
        <is>
          <t>S</t>
        </is>
      </c>
      <c r="N205" s="75" t="inlineStr">
        <is>
          <t>Parque exclusivo de Japón con diseño y atmósfera capaces de justificar un día completo.</t>
        </is>
      </c>
      <c r="O205" s="75" t="inlineStr">
        <is>
          <t>Parque Disney centrado en puertos, exploración y atracciones únicas.</t>
        </is>
      </c>
      <c r="P205" s="75" t="inlineStr">
        <is>
          <t>Su concepto marítimo y varias áreas no tienen equivalente directo en otros resorts Disney.</t>
        </is>
      </c>
      <c r="Q205" s="75" t="inlineStr">
        <is>
          <t>Atracciones, espectáculos, Fantasy Springs y arquitectura temática.</t>
        </is>
      </c>
      <c r="R205" s="75" t="inlineStr">
        <is>
          <t>Día completo</t>
        </is>
      </c>
      <c r="S205" s="75" t="inlineStr">
        <is>
          <t>Apertura</t>
        </is>
      </c>
      <c r="T205" s="75" t="inlineStr">
        <is>
          <t>Todo el año; calendario estacional</t>
        </is>
      </c>
      <c r="U205" s="75" t="inlineStr">
        <is>
          <t>Extremo</t>
        </is>
      </c>
      <c r="V205" s="75" t="inlineStr">
        <is>
          <t>Extremo</t>
        </is>
      </c>
      <c r="W205" s="92" t="n">
        <v>7900</v>
      </c>
      <c r="X205" s="92" t="n">
        <v>10900</v>
      </c>
      <c r="Y205" s="92">
        <f>W205*'Configuración'!$B$4</f>
        <v/>
      </c>
      <c r="Z205" s="92">
        <f>X205*'Configuración'!$B$4</f>
        <v/>
      </c>
      <c r="AA205" s="75" t="inlineStr">
        <is>
          <t>Sí</t>
        </is>
      </c>
      <c r="AB205" s="75" t="inlineStr">
        <is>
          <t>1–2 meses; venta oficial</t>
        </is>
      </c>
      <c r="AC205" s="75" t="inlineStr">
        <is>
          <t>Calendario variable</t>
        </is>
      </c>
      <c r="AD205" s="75" t="inlineStr">
        <is>
          <t>Mantenimientos programados</t>
        </is>
      </c>
      <c r="AE205" s="75" t="inlineStr">
        <is>
          <t>DisneySea Station / JR Maihama</t>
        </is>
      </c>
      <c r="AF205" s="75" t="inlineStr">
        <is>
          <t>Buena; confirmar restricciones por atracción</t>
        </is>
      </c>
      <c r="AG205" s="75" t="n">
        <v>35.6267</v>
      </c>
      <c r="AH205" s="75" t="n">
        <v>139.8851</v>
      </c>
      <c r="AI205" s="75" t="inlineStr">
        <is>
          <t>https://www.tokyodisneyresort.jp/en/tds/</t>
        </is>
      </c>
      <c r="AJ205" s="75" t="inlineStr">
        <is>
          <t>Requiere revisión cerca del viaje</t>
        </is>
      </c>
      <c r="AK205" s="75" t="inlineStr">
        <is>
          <t>MUST SEE / THEME PARK</t>
        </is>
      </c>
      <c r="AL205" s="75" t="inlineStr">
        <is>
          <t>Disney, diseño, entretenimiento</t>
        </is>
      </c>
      <c r="AM205" s="75" t="n">
        <v>5</v>
      </c>
      <c r="AN205" s="75" t="n">
        <v>5</v>
      </c>
      <c r="AO205" s="75" t="n">
        <v>4</v>
      </c>
      <c r="AP205" s="75" t="n">
        <v>5</v>
      </c>
      <c r="AQ205" s="75" t="inlineStr">
        <is>
          <t>Imagen recomendada: Mysterious Island o Mediterranean Harbor al atardecer.</t>
        </is>
      </c>
      <c r="AR205" s="75" t="inlineStr">
        <is>
          <t>Tokyo Disneyland (~10 min en monorraíl)</t>
        </is>
      </c>
      <c r="AS205" s="75" t="inlineStr">
        <is>
          <t>Popular / turístico</t>
        </is>
      </c>
      <c r="AT205" s="75" t="inlineStr">
        <is>
          <t>Tokyo Disneyland</t>
        </is>
      </c>
      <c r="AU205" s="75" t="inlineStr">
        <is>
          <t>https://www.google.com/maps/search/?api=1&amp;query=Tokyo%20DisneySea%20Urayasu%20Japan</t>
        </is>
      </c>
      <c r="AV205" s="75" t="inlineStr">
        <is>
          <t>2026-09-01</t>
        </is>
      </c>
      <c r="AW205" s="75" t="inlineStr">
        <is>
          <t>CALENDARIO 2027 PENDIENTE</t>
        </is>
      </c>
      <c r="AX205" s="75" t="inlineStr">
        <is>
          <t>Las nuevas atracciones anunciadas para primavera de 2027 no tienen fecha exacta; febrero no debe asumirse y marzo sigue incierto.</t>
        </is>
      </c>
      <c r="AY205" s="75" t="inlineStr">
        <is>
          <t>Revisar fechas oficiales de apertura y mantenimiento antes de comprar.</t>
        </is>
      </c>
    </row>
    <row r="206">
      <c r="A206" s="76" t="inlineStr">
        <is>
          <t>JP-205</t>
        </is>
      </c>
      <c r="B206" s="76" t="inlineStr">
        <is>
          <t>Sapporo</t>
        </is>
      </c>
      <c r="C206" s="76" t="inlineStr">
        <is>
          <t>Hokkaido</t>
        </is>
      </c>
      <c r="D206" s="76" t="inlineStr">
        <is>
          <t>Hokkaido</t>
        </is>
      </c>
      <c r="E206" s="76" t="inlineStr">
        <is>
          <t>Sapporo</t>
        </is>
      </c>
      <c r="F206" s="76" t="inlineStr">
        <is>
          <t>Odori / Susukino</t>
        </is>
      </c>
      <c r="G206" s="76" t="inlineStr">
        <is>
          <t>Sapporo–Odori</t>
        </is>
      </c>
      <c r="H206" s="76" t="inlineStr">
        <is>
          <t>Sapporo Snow Festival</t>
        </is>
      </c>
      <c r="I206" s="76" t="inlineStr">
        <is>
          <t>さっぽろ雪まつり</t>
        </is>
      </c>
      <c r="J206" s="76" t="inlineStr">
        <is>
          <t>Sapporo Snow Festival</t>
        </is>
      </c>
      <c r="K206" s="76" t="inlineStr">
        <is>
          <t>🎆 Eventos</t>
        </is>
      </c>
      <c r="L206" s="76" t="inlineStr">
        <is>
          <t>festival de nieve</t>
        </is>
      </c>
      <c r="M206" s="76" t="inlineStr">
        <is>
          <t>S</t>
        </is>
      </c>
      <c r="N206" s="75" t="inlineStr">
        <is>
          <t>Evento invernal de escala internacional que puede justificar adaptar fechas si coincide.</t>
        </is>
      </c>
      <c r="O206" s="75" t="inlineStr">
        <is>
          <t>Festival urbano de esculturas de nieve y hielo distribuido en varias sedes.</t>
        </is>
      </c>
      <c r="P206" s="75" t="inlineStr">
        <is>
          <t>Combina monumentos efímeros, iluminación nocturna y ciudad invernal.</t>
        </is>
      </c>
      <c r="Q206" s="75" t="inlineStr">
        <is>
          <t>Esculturas, iluminación, gastronomía y actividades de nieve.</t>
        </is>
      </c>
      <c r="R206" s="75" t="inlineStr">
        <is>
          <t>Medio día–día completo</t>
        </is>
      </c>
      <c r="S206" s="75" t="inlineStr">
        <is>
          <t>Tarde y noche</t>
        </is>
      </c>
      <c r="T206" s="75" t="inlineStr">
        <is>
          <t>Principios de febrero; fechas 2027 pendientes</t>
        </is>
      </c>
      <c r="U206" s="75" t="inlineStr">
        <is>
          <t>Extremo</t>
        </is>
      </c>
      <c r="V206" s="75" t="inlineStr">
        <is>
          <t>Extremo</t>
        </is>
      </c>
      <c r="W206" s="92" t="n">
        <v>0</v>
      </c>
      <c r="X206" s="92" t="n">
        <v>0</v>
      </c>
      <c r="Y206" s="92">
        <f>W206*'Configuración'!$B$4</f>
        <v/>
      </c>
      <c r="Z206" s="92">
        <f>X206*'Configuración'!$B$4</f>
        <v/>
      </c>
      <c r="AA206" s="75" t="inlineStr">
        <is>
          <t>No</t>
        </is>
      </c>
      <c r="AB206" s="75" t="inlineStr">
        <is>
          <t>Alojamiento 4–8 meses</t>
        </is>
      </c>
      <c r="AC206" s="75" t="inlineStr">
        <is>
          <t>Variable por sede</t>
        </is>
      </c>
      <c r="AD206" s="75" t="inlineStr">
        <is>
          <t>Solo durante el festival</t>
        </is>
      </c>
      <c r="AE206" s="75" t="inlineStr">
        <is>
          <t>Odori / Susukino</t>
        </is>
      </c>
      <c r="AF206" s="75" t="inlineStr">
        <is>
          <t>Variable; nieve, hielo y multitudes</t>
        </is>
      </c>
      <c r="AG206" s="75" t="n">
        <v>43.0605</v>
      </c>
      <c r="AH206" s="75" t="n">
        <v>141.3545</v>
      </c>
      <c r="AI206" s="75" t="inlineStr">
        <is>
          <t>https://www.snowfes.com/en/</t>
        </is>
      </c>
      <c r="AJ206" s="75" t="inlineStr">
        <is>
          <t>Pendiente</t>
        </is>
      </c>
      <c r="AK206" s="75" t="inlineStr">
        <is>
          <t>SEASONAL / WINTER</t>
        </is>
      </c>
      <c r="AL206" s="75" t="inlineStr">
        <is>
          <t>nieve, fotografía, eventos</t>
        </is>
      </c>
      <c r="AM206" s="75" t="n">
        <v>5</v>
      </c>
      <c r="AN206" s="75" t="n">
        <v>5</v>
      </c>
      <c r="AO206" s="75" t="n">
        <v>4</v>
      </c>
      <c r="AP206" s="75" t="n">
        <v>5</v>
      </c>
      <c r="AQ206" s="75" t="inlineStr">
        <is>
          <t>Imagen recomendada: gran escultura iluminada en Odori.</t>
        </is>
      </c>
      <c r="AR206" s="75" t="n"/>
      <c r="AS206" s="75" t="inlineStr">
        <is>
          <t>Popular / turístico</t>
        </is>
      </c>
      <c r="AT206" s="75" t="n"/>
      <c r="AU206" s="75" t="inlineStr">
        <is>
          <t>https://www.google.com/maps/search/?api=1&amp;query=Odori%20Park%20Sapporo%20Japan</t>
        </is>
      </c>
      <c r="AV206" s="75" t="inlineStr">
        <is>
          <t>2026-09-01</t>
        </is>
      </c>
      <c r="AW206" s="75" t="inlineStr">
        <is>
          <t>PENDIENTE 2027</t>
        </is>
      </c>
      <c r="AX206" s="75" t="inlineStr">
        <is>
          <t>La edición 2027 no está publicada oficialmente; no usar fechas de la auditoría como confirmadas.</t>
        </is>
      </c>
      <c r="AY206" s="75" t="inlineStr">
        <is>
          <t>Revisar el anuncio oficial entre otoño y diciembre de 2026.</t>
        </is>
      </c>
    </row>
    <row r="207">
      <c r="A207" s="76" t="inlineStr">
        <is>
          <t>JP-206</t>
        </is>
      </c>
      <c r="B207" s="76" t="inlineStr">
        <is>
          <t>Sapporo</t>
        </is>
      </c>
      <c r="C207" s="76" t="inlineStr">
        <is>
          <t>Hokkaido</t>
        </is>
      </c>
      <c r="D207" s="76" t="inlineStr">
        <is>
          <t>Hokkaido</t>
        </is>
      </c>
      <c r="E207" s="76" t="inlineStr">
        <is>
          <t>Otaru</t>
        </is>
      </c>
      <c r="F207" s="76" t="inlineStr">
        <is>
          <t>Canal de Otaru</t>
        </is>
      </c>
      <c r="G207" s="76" t="inlineStr">
        <is>
          <t>Otaru Canal</t>
        </is>
      </c>
      <c r="H207" s="76" t="inlineStr">
        <is>
          <t>Otaru Snow Light Path</t>
        </is>
      </c>
      <c r="I207" s="76" t="inlineStr">
        <is>
          <t>小樽雪あかりの路</t>
        </is>
      </c>
      <c r="J207" s="76" t="inlineStr">
        <is>
          <t>Otaru Snow Light Path</t>
        </is>
      </c>
      <c r="K207" s="76" t="inlineStr">
        <is>
          <t>🎆 Eventos</t>
        </is>
      </c>
      <c r="L207" s="76" t="inlineStr">
        <is>
          <t>festival de nieve y luz</t>
        </is>
      </c>
      <c r="M207" s="76" t="inlineStr">
        <is>
          <t>A</t>
        </is>
      </c>
      <c r="N207" s="75" t="inlineStr">
        <is>
          <t>Experiencia nocturna invernal muy atmosférica, recomendable si coincide con las fechas.</t>
        </is>
      </c>
      <c r="O207" s="75" t="inlineStr">
        <is>
          <t>Velas y pequeñas instalaciones de nieve iluminan el canal y barrios de Otaru.</t>
        </is>
      </c>
      <c r="P207" s="75" t="inlineStr">
        <is>
          <t>Escala íntima y luz de vela, distinta de las grandes esculturas de Sapporo.</t>
        </is>
      </c>
      <c r="Q207" s="75" t="inlineStr">
        <is>
          <t>Paseo nocturno, fotografías y pequeñas instalaciones de nieve.</t>
        </is>
      </c>
      <c r="R207" s="75" t="inlineStr">
        <is>
          <t>2–4 h</t>
        </is>
      </c>
      <c r="S207" s="75" t="inlineStr">
        <is>
          <t>Noche</t>
        </is>
      </c>
      <c r="T207" s="75" t="inlineStr">
        <is>
          <t>Febrero; fechas 2027 pendientes</t>
        </is>
      </c>
      <c r="U207" s="75" t="inlineStr">
        <is>
          <t>Alto</t>
        </is>
      </c>
      <c r="V207" s="75" t="inlineStr">
        <is>
          <t>Alto</t>
        </is>
      </c>
      <c r="W207" s="92" t="n">
        <v>0</v>
      </c>
      <c r="X207" s="92" t="n">
        <v>0</v>
      </c>
      <c r="Y207" s="92">
        <f>W207*'Configuración'!$B$4</f>
        <v/>
      </c>
      <c r="Z207" s="92">
        <f>X207*'Configuración'!$B$4</f>
        <v/>
      </c>
      <c r="AA207" s="75" t="inlineStr">
        <is>
          <t>No</t>
        </is>
      </c>
      <c r="AB207" s="75" t="inlineStr">
        <is>
          <t>Alojamiento/transporte con antelación</t>
        </is>
      </c>
      <c r="AC207" s="75" t="inlineStr">
        <is>
          <t>Atardecer–noche; variable</t>
        </is>
      </c>
      <c r="AD207" s="75" t="inlineStr">
        <is>
          <t>Solo durante el festival</t>
        </is>
      </c>
      <c r="AE207" s="75" t="inlineStr">
        <is>
          <t>JR Otaru</t>
        </is>
      </c>
      <c r="AF207" s="75" t="inlineStr">
        <is>
          <t>Media; nieve, hielo y recorridos exteriores</t>
        </is>
      </c>
      <c r="AG207" s="75" t="n">
        <v>43.1986</v>
      </c>
      <c r="AH207" s="75" t="n">
        <v>140.9947</v>
      </c>
      <c r="AI207" s="75" t="inlineStr">
        <is>
          <t>https://otaru-yukiakarinomichi.org/</t>
        </is>
      </c>
      <c r="AJ207" s="75" t="inlineStr">
        <is>
          <t>Pendiente</t>
        </is>
      </c>
      <c r="AK207" s="75" t="inlineStr">
        <is>
          <t>SEASONAL / WINTER</t>
        </is>
      </c>
      <c r="AL207" s="75" t="inlineStr">
        <is>
          <t>pareja, nieve, fotografía</t>
        </is>
      </c>
      <c r="AM207" s="75" t="n">
        <v>5</v>
      </c>
      <c r="AN207" s="75" t="n">
        <v>4</v>
      </c>
      <c r="AO207" s="75" t="n">
        <v>4</v>
      </c>
      <c r="AP207" s="75" t="n">
        <v>4</v>
      </c>
      <c r="AQ207" s="75" t="inlineStr">
        <is>
          <t>Imagen recomendada: canal con velas al anochecer.</t>
        </is>
      </c>
      <c r="AR207" s="75" t="n"/>
      <c r="AS207" s="75" t="inlineStr">
        <is>
          <t>Semi-hidden</t>
        </is>
      </c>
      <c r="AT207" s="75" t="inlineStr">
        <is>
          <t>Sapporo Snow Festival</t>
        </is>
      </c>
      <c r="AU207" s="75" t="inlineStr">
        <is>
          <t>https://www.google.com/maps/search/?api=1&amp;query=Otaru%20Canal%20Hokkaido%20Japan</t>
        </is>
      </c>
      <c r="AV207" s="75" t="inlineStr">
        <is>
          <t>2026-09-01</t>
        </is>
      </c>
      <c r="AW207" s="75" t="inlineStr">
        <is>
          <t>PENDIENTE 2027</t>
        </is>
      </c>
      <c r="AX207" s="75" t="inlineStr">
        <is>
          <t>La existencia habitual en febrero no confirma aún las fechas de 2027.</t>
        </is>
      </c>
      <c r="AY207" s="75" t="inlineStr">
        <is>
          <t>Revisar el sitio oficial en noviembre–diciembre de 2026.</t>
        </is>
      </c>
    </row>
    <row r="208">
      <c r="A208" s="76" t="inlineStr">
        <is>
          <t>JP-207</t>
        </is>
      </c>
      <c r="B208" s="76" t="inlineStr">
        <is>
          <t>Sapporo</t>
        </is>
      </c>
      <c r="C208" s="76" t="inlineStr">
        <is>
          <t>Hokkaido</t>
        </is>
      </c>
      <c r="D208" s="76" t="inlineStr">
        <is>
          <t>Hokkaido</t>
        </is>
      </c>
      <c r="E208" s="76" t="inlineStr">
        <is>
          <t>Chitose</t>
        </is>
      </c>
      <c r="F208" s="76" t="inlineStr">
        <is>
          <t>Lago Shikotsu</t>
        </is>
      </c>
      <c r="G208" s="76" t="inlineStr">
        <is>
          <t>Lake Shikotsu</t>
        </is>
      </c>
      <c r="H208" s="76" t="inlineStr">
        <is>
          <t>Lake Shikotsu Ice Festival</t>
        </is>
      </c>
      <c r="I208" s="76" t="inlineStr">
        <is>
          <t>支笏湖氷濤まつり</t>
        </is>
      </c>
      <c r="J208" s="76" t="inlineStr">
        <is>
          <t>Lake Shikotsu Ice Festival</t>
        </is>
      </c>
      <c r="K208" s="76" t="inlineStr">
        <is>
          <t>🎆 Eventos</t>
        </is>
      </c>
      <c r="L208" s="76" t="inlineStr">
        <is>
          <t>festival de hielo</t>
        </is>
      </c>
      <c r="M208" s="76" t="inlineStr">
        <is>
          <t>A</t>
        </is>
      </c>
      <c r="N208" s="75" t="inlineStr">
        <is>
          <t>Paisaje de hielo iluminado junto a un lago volcánico; buen contraste con Sapporo.</t>
        </is>
      </c>
      <c r="O208" s="75" t="inlineStr">
        <is>
          <t>Estructuras de hielo creadas con agua del lago y luz nocturna.</t>
        </is>
      </c>
      <c r="P208" s="75" t="inlineStr">
        <is>
          <t>Entorno natural lacustre y color azul del hielo, con logística más delicada.</t>
        </is>
      </c>
      <c r="Q208" s="75" t="inlineStr">
        <is>
          <t>Recorrido por estructuras de hielo e iluminación.</t>
        </is>
      </c>
      <c r="R208" s="75" t="inlineStr">
        <is>
          <t>2–4 h</t>
        </is>
      </c>
      <c r="S208" s="75" t="inlineStr">
        <is>
          <t>Tarde y noche</t>
        </is>
      </c>
      <c r="T208" s="75" t="inlineStr">
        <is>
          <t>Finales de enero–febrero; fechas 2027 pendientes</t>
        </is>
      </c>
      <c r="U208" s="75" t="inlineStr">
        <is>
          <t>Alto</t>
        </is>
      </c>
      <c r="V208" s="75" t="inlineStr">
        <is>
          <t>Alto</t>
        </is>
      </c>
      <c r="W208" s="92" t="n">
        <v>1000</v>
      </c>
      <c r="X208" s="92" t="n">
        <v>3000</v>
      </c>
      <c r="Y208" s="92">
        <f>W208*'Configuración'!$B$4</f>
        <v/>
      </c>
      <c r="Z208" s="92">
        <f>X208*'Configuración'!$B$4</f>
        <v/>
      </c>
      <c r="AA208" s="75" t="inlineStr">
        <is>
          <t>No</t>
        </is>
      </c>
      <c r="AB208" s="75" t="inlineStr">
        <is>
          <t>Transporte/alojamiento con antelación</t>
        </is>
      </c>
      <c r="AC208" s="75" t="inlineStr">
        <is>
          <t>Variable por edición</t>
        </is>
      </c>
      <c r="AD208" s="75" t="inlineStr">
        <is>
          <t>Solo durante el festival</t>
        </is>
      </c>
      <c r="AE208" s="75" t="inlineStr">
        <is>
          <t>Bus desde Chitose / coche</t>
        </is>
      </c>
      <c r="AF208" s="75" t="inlineStr">
        <is>
          <t>Baja-media; frío intenso, nieve y suelo irregular</t>
        </is>
      </c>
      <c r="AG208" s="75" t="n">
        <v>42.7724</v>
      </c>
      <c r="AH208" s="75" t="n">
        <v>141.4036</v>
      </c>
      <c r="AI208" s="75" t="inlineStr">
        <is>
          <t>https://hyoutou-special.asia/</t>
        </is>
      </c>
      <c r="AJ208" s="75" t="inlineStr">
        <is>
          <t>Pendiente</t>
        </is>
      </c>
      <c r="AK208" s="75" t="inlineStr">
        <is>
          <t>SEASONAL / ICE</t>
        </is>
      </c>
      <c r="AL208" s="75" t="inlineStr">
        <is>
          <t>nieve, naturaleza, fotografía</t>
        </is>
      </c>
      <c r="AM208" s="75" t="n">
        <v>5</v>
      </c>
      <c r="AN208" s="75" t="n">
        <v>5</v>
      </c>
      <c r="AO208" s="75" t="n">
        <v>3</v>
      </c>
      <c r="AP208" s="75" t="n">
        <v>4</v>
      </c>
      <c r="AQ208" s="75" t="inlineStr">
        <is>
          <t>Imagen recomendada: hielo azul al crepúsculo.</t>
        </is>
      </c>
      <c r="AR208" s="75" t="n"/>
      <c r="AS208" s="75" t="inlineStr">
        <is>
          <t>Semi-hidden</t>
        </is>
      </c>
      <c r="AT208" s="75" t="inlineStr">
        <is>
          <t>Sapporo Snow Festival</t>
        </is>
      </c>
      <c r="AU208" s="75" t="inlineStr">
        <is>
          <t>https://www.google.com/maps/search/?api=1&amp;query=Lake%20Shikotsu%20Ice%20Festival%20Japan</t>
        </is>
      </c>
      <c r="AV208" s="75" t="inlineStr">
        <is>
          <t>2026-09-01</t>
        </is>
      </c>
      <c r="AW208" s="75" t="inlineStr">
        <is>
          <t>PENDIENTE 2027</t>
        </is>
      </c>
      <c r="AX208" s="75" t="inlineStr">
        <is>
          <t>Fechas y días exactos de 2027 no publicados; la tarifa anunciada para la próxima edición varía por día.</t>
        </is>
      </c>
      <c r="AY208" s="75" t="inlineStr">
        <is>
          <t>Revisar fechas, transporte y tarifa en noviembre–diciembre de 2026.</t>
        </is>
      </c>
    </row>
    <row r="209">
      <c r="A209" s="76" t="inlineStr">
        <is>
          <t>JP-208</t>
        </is>
      </c>
      <c r="B209" s="76" t="inlineStr">
        <is>
          <t>Tokio</t>
        </is>
      </c>
      <c r="C209" s="76" t="inlineStr">
        <is>
          <t>Chubu</t>
        </is>
      </c>
      <c r="D209" s="76" t="inlineStr">
        <is>
          <t>Shizuoka</t>
        </is>
      </c>
      <c r="E209" s="76" t="inlineStr">
        <is>
          <t>Kawazu</t>
        </is>
      </c>
      <c r="F209" s="76" t="inlineStr">
        <is>
          <t>Río Kawazu</t>
        </is>
      </c>
      <c r="G209" s="76" t="inlineStr">
        <is>
          <t>Kawazu</t>
        </is>
      </c>
      <c r="H209" s="76" t="inlineStr">
        <is>
          <t>Kawazu Cherry Blossom Festival</t>
        </is>
      </c>
      <c r="I209" s="76" t="inlineStr">
        <is>
          <t>河津桜まつり</t>
        </is>
      </c>
      <c r="J209" s="76" t="inlineStr">
        <is>
          <t>Kawazu Cherry Blossom Festival</t>
        </is>
      </c>
      <c r="K209" s="76" t="inlineStr">
        <is>
          <t>🌸 Naturaleza</t>
        </is>
      </c>
      <c r="L209" s="76" t="inlineStr">
        <is>
          <t>festival de floración</t>
        </is>
      </c>
      <c r="M209" s="76" t="inlineStr">
        <is>
          <t>A</t>
        </is>
      </c>
      <c r="N209" s="75" t="inlineStr">
        <is>
          <t>Floración temprana especialmente relevante para un viaje de febrero–marzo.</t>
        </is>
      </c>
      <c r="O209" s="75" t="inlineStr">
        <is>
          <t>Paseo ribereño con Kawazu-zakura de floración temprana.</t>
        </is>
      </c>
      <c r="P209" s="75" t="inlineStr">
        <is>
          <t>Ofrece una posibilidad real de sakura antes de la temporada principal, sin garantizar el pico.</t>
        </is>
      </c>
      <c r="Q209" s="75" t="inlineStr">
        <is>
          <t>Paseo, puestos, fotografía y observación de floración.</t>
        </is>
      </c>
      <c r="R209" s="75" t="inlineStr">
        <is>
          <t>Medio día</t>
        </is>
      </c>
      <c r="S209" s="75" t="inlineStr">
        <is>
          <t>Mañana</t>
        </is>
      </c>
      <c r="T209" s="75" t="inlineStr">
        <is>
          <t>Febrero–principios de marzo; depende del clima</t>
        </is>
      </c>
      <c r="U209" s="75" t="inlineStr">
        <is>
          <t>Extremo</t>
        </is>
      </c>
      <c r="V209" s="75" t="inlineStr">
        <is>
          <t>Extremo</t>
        </is>
      </c>
      <c r="W209" s="92" t="n">
        <v>0</v>
      </c>
      <c r="X209" s="92" t="n">
        <v>0</v>
      </c>
      <c r="Y209" s="92">
        <f>W209*'Configuración'!$B$4</f>
        <v/>
      </c>
      <c r="Z209" s="92">
        <f>X209*'Configuración'!$B$4</f>
        <v/>
      </c>
      <c r="AA209" s="75" t="inlineStr">
        <is>
          <t>No</t>
        </is>
      </c>
      <c r="AB209" s="75" t="inlineStr">
        <is>
          <t>Transporte/alojamiento 1–3 meses</t>
        </is>
      </c>
      <c r="AC209" s="75" t="inlineStr">
        <is>
          <t>Variable por edición</t>
        </is>
      </c>
      <c r="AD209" s="75" t="inlineStr">
        <is>
          <t>Solo durante el festival</t>
        </is>
      </c>
      <c r="AE209" s="75" t="inlineStr">
        <is>
          <t>Izukyu Kawazu</t>
        </is>
      </c>
      <c r="AF209" s="75" t="inlineStr">
        <is>
          <t>Media; paseo exterior y multitudes</t>
        </is>
      </c>
      <c r="AG209" s="75" t="n">
        <v>34.757</v>
      </c>
      <c r="AH209" s="75" t="n">
        <v>138.9959</v>
      </c>
      <c r="AI209" s="75" t="inlineStr">
        <is>
          <t>https://kawazuzakura.net/</t>
        </is>
      </c>
      <c r="AJ209" s="75" t="inlineStr">
        <is>
          <t>Pendiente</t>
        </is>
      </c>
      <c r="AK209" s="75" t="inlineStr">
        <is>
          <t>SEASONAL / SAKURA</t>
        </is>
      </c>
      <c r="AL209" s="75" t="inlineStr">
        <is>
          <t>sakura, fotografía, pareja</t>
        </is>
      </c>
      <c r="AM209" s="75" t="n">
        <v>5</v>
      </c>
      <c r="AN209" s="75" t="n">
        <v>4</v>
      </c>
      <c r="AO209" s="75" t="n">
        <v>4</v>
      </c>
      <c r="AP209" s="75" t="n">
        <v>5</v>
      </c>
      <c r="AQ209" s="75" t="inlineStr">
        <is>
          <t>Imagen recomendada: río con Kawazu-zakura y colza.</t>
        </is>
      </c>
      <c r="AR209" s="75" t="n"/>
      <c r="AS209" s="75" t="inlineStr">
        <is>
          <t>Popular / turístico</t>
        </is>
      </c>
      <c r="AT209" s="75" t="n"/>
      <c r="AU209" s="75" t="inlineStr">
        <is>
          <t>https://www.google.com/maps/search/?api=1&amp;query=Kawazu%20Cherry%20Blossom%20Festival%20Japan</t>
        </is>
      </c>
      <c r="AV209" s="75" t="inlineStr">
        <is>
          <t>2026-09-01</t>
        </is>
      </c>
      <c r="AW209" s="75" t="inlineStr">
        <is>
          <t>PENDIENTE 2027</t>
        </is>
      </c>
      <c r="AX209" s="75" t="inlineStr">
        <is>
          <t>La edición y floración de 2027 no están confirmadas; el pico depende del clima.</t>
        </is>
      </c>
      <c r="AY209" s="75" t="inlineStr">
        <is>
          <t>Revisar calendario oficial y estado de floración desde enero de 2027.</t>
        </is>
      </c>
    </row>
    <row r="210">
      <c r="A210" s="76" t="inlineStr">
        <is>
          <t>JP-209</t>
        </is>
      </c>
      <c r="B210" s="76" t="inlineStr">
        <is>
          <t>Osaka</t>
        </is>
      </c>
      <c r="C210" s="76" t="inlineStr">
        <is>
          <t>Chugoku</t>
        </is>
      </c>
      <c r="D210" s="76" t="inlineStr">
        <is>
          <t>Hiroshima</t>
        </is>
      </c>
      <c r="E210" s="76" t="inlineStr">
        <is>
          <t>Takehara</t>
        </is>
      </c>
      <c r="F210" s="76" t="inlineStr">
        <is>
          <t>Okunoshima</t>
        </is>
      </c>
      <c r="G210" s="76" t="inlineStr">
        <is>
          <t>Okunoshima</t>
        </is>
      </c>
      <c r="H210" s="76" t="inlineStr">
        <is>
          <t>Okunoshima (Rabbit Island)</t>
        </is>
      </c>
      <c r="I210" s="76" t="inlineStr">
        <is>
          <t>大久野島</t>
        </is>
      </c>
      <c r="J210" s="76" t="inlineStr">
        <is>
          <t>Okunoshima (Rabbit Island)</t>
        </is>
      </c>
      <c r="K210" s="76" t="inlineStr">
        <is>
          <t>🌿 Naturaleza</t>
        </is>
      </c>
      <c r="L210" s="76" t="inlineStr">
        <is>
          <t>isla / historia</t>
        </is>
      </c>
      <c r="M210" s="76" t="inlineStr">
        <is>
          <t>B</t>
        </is>
      </c>
      <c r="N210" s="75" t="inlineStr">
        <is>
          <t>Recomendable si encaja por el contraste entre naturaleza, conejos e historia bélica.</t>
        </is>
      </c>
      <c r="O210" s="75" t="inlineStr">
        <is>
          <t>Isla pequeña conocida por sus conejos y restos vinculados a la producción de gas venenoso.</t>
        </is>
      </c>
      <c r="P210" s="75" t="inlineStr">
        <is>
          <t>La narrativa histórica evita reducirla a una simple atracción de animales.</t>
        </is>
      </c>
      <c r="Q210" s="75" t="inlineStr">
        <is>
          <t>Paseo, museo, ruinas, costa y observación responsable de conejos.</t>
        </is>
      </c>
      <c r="R210" s="75" t="inlineStr">
        <is>
          <t>Medio día–día completo</t>
        </is>
      </c>
      <c r="S210" s="75" t="inlineStr">
        <is>
          <t>Mañana</t>
        </is>
      </c>
      <c r="T210" s="75" t="inlineStr">
        <is>
          <t>Primavera y otoño; invierno con abrigo</t>
        </is>
      </c>
      <c r="U210" s="75" t="inlineStr">
        <is>
          <t>Medio</t>
        </is>
      </c>
      <c r="V210" s="75" t="inlineStr">
        <is>
          <t>Medio</t>
        </is>
      </c>
      <c r="W210" s="92" t="n">
        <v>0</v>
      </c>
      <c r="X210" s="92" t="n">
        <v>1500</v>
      </c>
      <c r="Y210" s="92">
        <f>W210*'Configuración'!$B$4</f>
        <v/>
      </c>
      <c r="Z210" s="92">
        <f>X210*'Configuración'!$B$4</f>
        <v/>
      </c>
      <c r="AA210" s="75" t="inlineStr">
        <is>
          <t>No</t>
        </is>
      </c>
      <c r="AB210" s="75" t="inlineStr">
        <is>
          <t>Ferry y museo: confirmar</t>
        </is>
      </c>
      <c r="AC210" s="75" t="inlineStr">
        <is>
          <t>Ferries variables</t>
        </is>
      </c>
      <c r="AD210" s="75" t="inlineStr">
        <is>
          <t>Museo/cafeterías pueden cerrar</t>
        </is>
      </c>
      <c r="AE210" s="75" t="inlineStr">
        <is>
          <t>JR Tadanoumi + ferry</t>
        </is>
      </c>
      <c r="AF210" s="75" t="inlineStr">
        <is>
          <t>Media; ferry y caminos exteriores</t>
        </is>
      </c>
      <c r="AG210" s="75" t="n">
        <v>34.3104</v>
      </c>
      <c r="AH210" s="75" t="n">
        <v>132.9936</v>
      </c>
      <c r="AI210" s="75" t="inlineStr">
        <is>
          <t>https://www.japan.travel/en/spot/871/</t>
        </is>
      </c>
      <c r="AJ210" s="75" t="inlineStr">
        <is>
          <t>Cambiante</t>
        </is>
      </c>
      <c r="AK210" s="75" t="inlineStr">
        <is>
          <t>HISTORY / NATURE</t>
        </is>
      </c>
      <c r="AL210" s="75" t="inlineStr">
        <is>
          <t>historia, naturaleza, animales</t>
        </is>
      </c>
      <c r="AM210" s="75" t="n">
        <v>4</v>
      </c>
      <c r="AN210" s="75" t="n">
        <v>5</v>
      </c>
      <c r="AO210" s="75" t="n">
        <v>3</v>
      </c>
      <c r="AP210" s="75" t="n">
        <v>3</v>
      </c>
      <c r="AQ210" s="75" t="inlineStr">
        <is>
          <t>Imagen recomendada: paisaje insular con contexto histórico, sin alimentar animales.</t>
        </is>
      </c>
      <c r="AR210" s="75" t="n"/>
      <c r="AS210" s="75" t="inlineStr">
        <is>
          <t>Semi-hidden</t>
        </is>
      </c>
      <c r="AT210" s="75" t="n"/>
      <c r="AU210" s="75" t="inlineStr">
        <is>
          <t>https://www.google.com/maps/search/?api=1&amp;query=Okunoshima%20Japan</t>
        </is>
      </c>
      <c r="AV210" s="75" t="inlineStr">
        <is>
          <t>2026-09-01</t>
        </is>
      </c>
      <c r="AW210" s="75" t="inlineStr">
        <is>
          <t>TRANSPORTE PENDIENTE</t>
        </is>
      </c>
      <c r="AX210" s="75" t="inlineStr">
        <is>
          <t>Horarios de ferry, museo y servicios pueden variar en invierno.</t>
        </is>
      </c>
      <c r="AY210" s="75" t="inlineStr">
        <is>
          <t>Revisar ferry y museo una semana antes.</t>
        </is>
      </c>
    </row>
    <row r="211">
      <c r="A211" s="76" t="inlineStr">
        <is>
          <t>JP-210</t>
        </is>
      </c>
      <c r="B211" s="76" t="inlineStr">
        <is>
          <t>Nagoya</t>
        </is>
      </c>
      <c r="C211" s="76" t="inlineStr">
        <is>
          <t>Chubu</t>
        </is>
      </c>
      <c r="D211" s="76" t="inlineStr">
        <is>
          <t>Gifu</t>
        </is>
      </c>
      <c r="E211" s="76" t="inlineStr">
        <is>
          <t>Takayama</t>
        </is>
      </c>
      <c r="F211" s="76" t="inlineStr">
        <is>
          <t>Sanmachi</t>
        </is>
      </c>
      <c r="G211" s="76" t="inlineStr">
        <is>
          <t>Takayama</t>
        </is>
      </c>
      <c r="H211" s="76" t="inlineStr">
        <is>
          <t>Takayama Sanmachi Historic District</t>
        </is>
      </c>
      <c r="I211" s="76" t="inlineStr">
        <is>
          <t>高山三町伝統的建造物群保存地区</t>
        </is>
      </c>
      <c r="J211" s="76" t="inlineStr">
        <is>
          <t>Takayama Sanmachi Historic District</t>
        </is>
      </c>
      <c r="K211" s="76" t="inlineStr">
        <is>
          <t>🏯 Historia y patrimonio</t>
        </is>
      </c>
      <c r="L211" s="76" t="inlineStr">
        <is>
          <t>barrio histórico</t>
        </is>
      </c>
      <c r="M211" s="76" t="inlineStr">
        <is>
          <t>A</t>
        </is>
      </c>
      <c r="N211" s="75" t="inlineStr">
        <is>
          <t>Conjunto urbano Edo muy bien conservado; recomendable si se incluye Hida.</t>
        </is>
      </c>
      <c r="O211" s="75" t="inlineStr">
        <is>
          <t>Calles mercantiles, casas de madera, sake y pequeños museos en el centro de Takayama.</t>
        </is>
      </c>
      <c r="P211" s="75" t="inlineStr">
        <is>
          <t>Mayor escala y autenticidad urbana que una recreación, pero es un destino conocido.</t>
        </is>
      </c>
      <c r="Q211" s="75" t="inlineStr">
        <is>
          <t>Paseo, arquitectura, sake, mercados y museos.</t>
        </is>
      </c>
      <c r="R211" s="75" t="inlineStr">
        <is>
          <t>3–6 h</t>
        </is>
      </c>
      <c r="S211" s="75" t="inlineStr">
        <is>
          <t>Mañana</t>
        </is>
      </c>
      <c r="T211" s="75" t="inlineStr">
        <is>
          <t>Todo el año; invierno nevado</t>
        </is>
      </c>
      <c r="U211" s="75" t="inlineStr">
        <is>
          <t>Alto</t>
        </is>
      </c>
      <c r="V211" s="75" t="inlineStr">
        <is>
          <t>Alto</t>
        </is>
      </c>
      <c r="W211" s="92" t="n">
        <v>0</v>
      </c>
      <c r="X211" s="92" t="n">
        <v>0</v>
      </c>
      <c r="Y211" s="92">
        <f>W211*'Configuración'!$B$4</f>
        <v/>
      </c>
      <c r="Z211" s="92">
        <f>X211*'Configuración'!$B$4</f>
        <v/>
      </c>
      <c r="AA211" s="75" t="inlineStr">
        <is>
          <t>No</t>
        </is>
      </c>
      <c r="AB211" s="75" t="inlineStr">
        <is>
          <t>Alojamiento 1–3 meses en temporada</t>
        </is>
      </c>
      <c r="AC211" s="75" t="inlineStr">
        <is>
          <t>Negocios variables</t>
        </is>
      </c>
      <c r="AD211" s="75" t="inlineStr">
        <is>
          <t>Negocios individuales</t>
        </is>
      </c>
      <c r="AE211" s="75" t="inlineStr">
        <is>
          <t>JR Takayama + 15 min a pie</t>
        </is>
      </c>
      <c r="AF211" s="75" t="inlineStr">
        <is>
          <t>Media; nieve y edificios históricos</t>
        </is>
      </c>
      <c r="AG211" s="75" t="n">
        <v>36.1426</v>
      </c>
      <c r="AH211" s="75" t="n">
        <v>137.2604</v>
      </c>
      <c r="AI211" s="75" t="inlineStr">
        <is>
          <t>https://www.japan.travel/en/spot/152/</t>
        </is>
      </c>
      <c r="AJ211" s="75" t="inlineStr">
        <is>
          <t>Cambiante</t>
        </is>
      </c>
      <c r="AK211" s="75" t="inlineStr">
        <is>
          <t>HISTORIC TOWN</t>
        </is>
      </c>
      <c r="AL211" s="75" t="inlineStr">
        <is>
          <t>historia, arquitectura, comida</t>
        </is>
      </c>
      <c r="AM211" s="75" t="n">
        <v>5</v>
      </c>
      <c r="AN211" s="75" t="n">
        <v>4</v>
      </c>
      <c r="AO211" s="75" t="n">
        <v>4</v>
      </c>
      <c r="AP211" s="75" t="n">
        <v>4</v>
      </c>
      <c r="AQ211" s="75" t="inlineStr">
        <is>
          <t>Imagen recomendada: Sanmachi temprano y con nieve si coincide.</t>
        </is>
      </c>
      <c r="AR211" s="75" t="n"/>
      <c r="AS211" s="75" t="inlineStr">
        <is>
          <t>Popular / turístico</t>
        </is>
      </c>
      <c r="AT211" s="75" t="inlineStr">
        <is>
          <t>Kawagoe</t>
        </is>
      </c>
      <c r="AU211" s="75" t="inlineStr">
        <is>
          <t>https://www.google.com/maps/search/?api=1&amp;query=Sanmachi%20Takayama%20Japan</t>
        </is>
      </c>
      <c r="AV211" s="75" t="inlineStr">
        <is>
          <t>2026-09-01</t>
        </is>
      </c>
      <c r="AW211" s="75" t="inlineStr">
        <is>
          <t>CLIMA / HORARIOS PENDIENTES</t>
        </is>
      </c>
      <c r="AX211" s="75" t="inlineStr">
        <is>
          <t>Es un destino popular todo el año; nieve y cierres de comercios pueden afectar la visita.</t>
        </is>
      </c>
      <c r="AY211" s="75" t="inlineStr">
        <is>
          <t>Revisar clima y horarios cerca del viaje.</t>
        </is>
      </c>
    </row>
    <row r="212">
      <c r="A212" s="76" t="inlineStr">
        <is>
          <t>JP-211</t>
        </is>
      </c>
      <c r="B212" s="76" t="inlineStr">
        <is>
          <t>Osaka</t>
        </is>
      </c>
      <c r="C212" s="76" t="inlineStr">
        <is>
          <t>Kansai</t>
        </is>
      </c>
      <c r="D212" s="76" t="inlineStr">
        <is>
          <t>Osaka</t>
        </is>
      </c>
      <c r="E212" s="76" t="inlineStr">
        <is>
          <t>Osaka</t>
        </is>
      </c>
      <c r="F212" s="76" t="inlineStr">
        <is>
          <t>Nanko-kita / Suminoe</t>
        </is>
      </c>
      <c r="G212" s="76" t="inlineStr">
        <is>
          <t>INTEX Osaka</t>
        </is>
      </c>
      <c r="H212" s="76" t="inlineStr">
        <is>
          <t>AnimeJapan 2027</t>
        </is>
      </c>
      <c r="I212" s="76" t="inlineStr">
        <is>
          <t>AnimeJapan 2027</t>
        </is>
      </c>
      <c r="J212" s="76" t="inlineStr">
        <is>
          <t>AnimeJapan 2027</t>
        </is>
      </c>
      <c r="K212" s="76" t="inlineStr">
        <is>
          <t>🎆 Eventos</t>
        </is>
      </c>
      <c r="L212" s="76" t="inlineStr">
        <is>
          <t>convención anime</t>
        </is>
      </c>
      <c r="M212" s="76" t="inlineStr">
        <is>
          <t>A</t>
        </is>
      </c>
      <c r="N212" s="75" t="inlineStr">
        <is>
          <t>Evento excepcional para fans si las fechas encajan, pero no justifica una desviación para todo perfil.</t>
        </is>
      </c>
      <c r="O212" s="75" t="inlineStr">
        <is>
          <t>Convención de anime con escenarios, exhibidores y anuncios de la industria.</t>
        </is>
      </c>
      <c r="P212" s="75" t="inlineStr">
        <is>
          <t>La edición 2027 se celebra en Osaka, corrigiendo la ubicación de Tokio de la auditoría.</t>
        </is>
      </c>
      <c r="Q212" s="75" t="inlineStr">
        <is>
          <t>Exhibiciones, escenarios, mercancía y actividades de industria.</t>
        </is>
      </c>
      <c r="R212" s="75" t="inlineStr">
        <is>
          <t>Día completo</t>
        </is>
      </c>
      <c r="S212" s="75" t="inlineStr">
        <is>
          <t>Apertura</t>
        </is>
      </c>
      <c r="T212" s="75" t="inlineStr">
        <is>
          <t>27–28 mar 2027</t>
        </is>
      </c>
      <c r="U212" s="75" t="inlineStr">
        <is>
          <t>Extremo</t>
        </is>
      </c>
      <c r="V212" s="75" t="inlineStr">
        <is>
          <t>Extremo</t>
        </is>
      </c>
      <c r="W212" s="92" t="n">
        <v>2500</v>
      </c>
      <c r="X212" s="92" t="n">
        <v>3000</v>
      </c>
      <c r="Y212" s="92">
        <f>W212*'Configuración'!$B$4</f>
        <v/>
      </c>
      <c r="Z212" s="92">
        <f>X212*'Configuración'!$B$4</f>
        <v/>
      </c>
      <c r="AA212" s="75" t="inlineStr">
        <is>
          <t>Sí</t>
        </is>
      </c>
      <c r="AB212" s="75" t="inlineStr">
        <is>
          <t>Venta oficial pendiente</t>
        </is>
      </c>
      <c r="AC212" s="75" t="inlineStr">
        <is>
          <t>09:00–17:00 según anuncio</t>
        </is>
      </c>
      <c r="AD212" s="75" t="inlineStr">
        <is>
          <t>Fuera de las fechas</t>
        </is>
      </c>
      <c r="AE212" s="75" t="inlineStr">
        <is>
          <t>Cosmosquare / Nakafuto</t>
        </is>
      </c>
      <c r="AF212" s="75" t="inlineStr">
        <is>
          <t>Buena; confirmar aforo y filas</t>
        </is>
      </c>
      <c r="AG212" s="75" t="n">
        <v>34.638</v>
      </c>
      <c r="AH212" s="75" t="n">
        <v>135.4168</v>
      </c>
      <c r="AI212" s="75" t="inlineStr">
        <is>
          <t>https://anime-japan.jp/en/about/</t>
        </is>
      </c>
      <c r="AJ212" s="75" t="inlineStr">
        <is>
          <t>Cambiante</t>
        </is>
      </c>
      <c r="AK212" s="75" t="inlineStr">
        <is>
          <t>CONFIRMED EVENT / ANIME</t>
        </is>
      </c>
      <c r="AL212" s="75" t="inlineStr">
        <is>
          <t>anime, industria, compras</t>
        </is>
      </c>
      <c r="AM212" s="75" t="n">
        <v>4</v>
      </c>
      <c r="AN212" s="75" t="n">
        <v>4</v>
      </c>
      <c r="AO212" s="75" t="n">
        <v>3</v>
      </c>
      <c r="AP212" s="75" t="n">
        <v>5</v>
      </c>
      <c r="AQ212" s="75" t="inlineStr">
        <is>
          <t>Imagen recomendada: pabellón principal y señalética del evento.</t>
        </is>
      </c>
      <c r="AR212" s="75" t="n"/>
      <c r="AS212" s="75" t="inlineStr">
        <is>
          <t>Popular / turístico</t>
        </is>
      </c>
      <c r="AT212" s="75" t="n"/>
      <c r="AU212" s="75" t="inlineStr">
        <is>
          <t>https://www.google.com/maps/search/?api=1&amp;query=INTEX%20Osaka%20Japan</t>
        </is>
      </c>
      <c r="AV212" s="75" t="inlineStr">
        <is>
          <t>2026-09-01</t>
        </is>
      </c>
      <c r="AW212" s="75" t="inlineStr">
        <is>
          <t>CONFIRMADO 2027</t>
        </is>
      </c>
      <c r="AX212" s="75" t="inlineStr">
        <is>
          <t>AnimeJapan 2027: 27–28 mar, INTEX Osaka; entradas y programa detallado pendientes.</t>
        </is>
      </c>
      <c r="AY212" s="75" t="inlineStr">
        <is>
          <t>Revisar venta de entradas y programa en invierno de 2026–2027.</t>
        </is>
      </c>
    </row>
    <row r="213">
      <c r="A213" s="76" t="inlineStr">
        <is>
          <t>JP-212</t>
        </is>
      </c>
      <c r="B213" s="76" t="inlineStr">
        <is>
          <t>Osaka</t>
        </is>
      </c>
      <c r="C213" s="76" t="inlineStr">
        <is>
          <t>Kansai</t>
        </is>
      </c>
      <c r="D213" s="76" t="inlineStr">
        <is>
          <t>Osaka</t>
        </is>
      </c>
      <c r="E213" s="76" t="inlineStr">
        <is>
          <t>Osaka</t>
        </is>
      </c>
      <c r="F213" s="76" t="inlineStr">
        <is>
          <t>Namba</t>
        </is>
      </c>
      <c r="G213" s="76" t="inlineStr">
        <is>
          <t>Namba Arena</t>
        </is>
      </c>
      <c r="H213" s="76" t="inlineStr">
        <is>
          <t>Grand Sumo Tournament Osaka 2027</t>
        </is>
      </c>
      <c r="I213" s="76" t="inlineStr">
        <is>
          <t>大相撲三月場所</t>
        </is>
      </c>
      <c r="J213" s="76" t="inlineStr">
        <is>
          <t>Grand Sumo Tournament Osaka 2027</t>
        </is>
      </c>
      <c r="K213" s="76" t="inlineStr">
        <is>
          <t>🎆 Eventos</t>
        </is>
      </c>
      <c r="L213" s="76" t="inlineStr">
        <is>
          <t>torneo deportivo</t>
        </is>
      </c>
      <c r="M213" s="76" t="inlineStr">
        <is>
          <t>A</t>
        </is>
      </c>
      <c r="N213" s="75" t="inlineStr">
        <is>
          <t>Oportunidad cultural y deportiva relevante si coincide con Osaka.</t>
        </is>
      </c>
      <c r="O213" s="75" t="inlineStr">
        <is>
          <t>Torneo profesional de sumo de marzo en EDION Arena Osaka.</t>
        </is>
      </c>
      <c r="P213" s="75" t="inlineStr">
        <is>
          <t>Permite ver la ceremonia y competición en un torneo oficial, no una exhibición turística.</t>
        </is>
      </c>
      <c r="Q213" s="75" t="inlineStr">
        <is>
          <t>Combates, ceremonias, llegada de luchadores y ambiente de torneo.</t>
        </is>
      </c>
      <c r="R213" s="75" t="inlineStr">
        <is>
          <t>4–8 h</t>
        </is>
      </c>
      <c r="S213" s="75" t="inlineStr">
        <is>
          <t>Tarde</t>
        </is>
      </c>
      <c r="T213" s="75" t="inlineStr">
        <is>
          <t>14–28 mar 2027</t>
        </is>
      </c>
      <c r="U213" s="75" t="inlineStr">
        <is>
          <t>Extremo</t>
        </is>
      </c>
      <c r="V213" s="75" t="inlineStr">
        <is>
          <t>Extremo</t>
        </is>
      </c>
      <c r="W213" s="92" t="n">
        <v>3500</v>
      </c>
      <c r="X213" s="92" t="n">
        <v>20000</v>
      </c>
      <c r="Y213" s="92">
        <f>W213*'Configuración'!$B$4</f>
        <v/>
      </c>
      <c r="Z213" s="92">
        <f>X213*'Configuración'!$B$4</f>
        <v/>
      </c>
      <c r="AA213" s="75" t="inlineStr">
        <is>
          <t>Sí</t>
        </is>
      </c>
      <c r="AB213" s="75" t="inlineStr">
        <is>
          <t>Venta oficial desde 6 feb 2027</t>
        </is>
      </c>
      <c r="AC213" s="75" t="inlineStr">
        <is>
          <t>Jornada diurna, horarios por categoría</t>
        </is>
      </c>
      <c r="AD213" s="75" t="inlineStr">
        <is>
          <t>Fuera del torneo</t>
        </is>
      </c>
      <c r="AE213" s="75" t="inlineStr">
        <is>
          <t>Namba</t>
        </is>
      </c>
      <c r="AF213" s="75" t="inlineStr">
        <is>
          <t>Buena en zonas principales; confirmar asiento</t>
        </is>
      </c>
      <c r="AG213" s="75" t="n">
        <v>34.662</v>
      </c>
      <c r="AH213" s="75" t="n">
        <v>135.4996</v>
      </c>
      <c r="AI213" s="75" t="inlineStr">
        <is>
          <t>https://www.sumo.or.jp/EnTicket/year_schedule/</t>
        </is>
      </c>
      <c r="AJ213" s="75" t="inlineStr">
        <is>
          <t>Cambiante</t>
        </is>
      </c>
      <c r="AK213" s="75" t="inlineStr">
        <is>
          <t>CONFIRMED EVENT / SUMO</t>
        </is>
      </c>
      <c r="AL213" s="75" t="inlineStr">
        <is>
          <t>cultura, deporte, fotografía</t>
        </is>
      </c>
      <c r="AM213" s="75" t="n">
        <v>4</v>
      </c>
      <c r="AN213" s="75" t="n">
        <v>5</v>
      </c>
      <c r="AO213" s="75" t="n">
        <v>4</v>
      </c>
      <c r="AP213" s="75" t="n">
        <v>5</v>
      </c>
      <c r="AQ213" s="75" t="inlineStr">
        <is>
          <t>Imagen recomendada: dohyo-iri o exterior de arena.</t>
        </is>
      </c>
      <c r="AR213" s="75" t="n"/>
      <c r="AS213" s="75" t="inlineStr">
        <is>
          <t>Popular / turístico</t>
        </is>
      </c>
      <c r="AT213" s="75" t="n"/>
      <c r="AU213" s="75" t="inlineStr">
        <is>
          <t>https://www.google.com/maps/search/?api=1&amp;query=EDION%20Arena%20Osaka%20Japan</t>
        </is>
      </c>
      <c r="AV213" s="75" t="inlineStr">
        <is>
          <t>2026-09-01</t>
        </is>
      </c>
      <c r="AW213" s="75" t="inlineStr">
        <is>
          <t>CONFIRMADO 2027</t>
        </is>
      </c>
      <c r="AX213" s="75" t="inlineStr">
        <is>
          <t>Torneo 14–28 mar 2027; venta prevista desde 6 feb según calendario oficial.</t>
        </is>
      </c>
      <c r="AY213" s="75" t="inlineStr">
        <is>
          <t>Preparar cuenta y comprar en cuanto abra la venta.</t>
        </is>
      </c>
    </row>
    <row r="214">
      <c r="A214" s="76" t="inlineStr">
        <is>
          <t>JP-213</t>
        </is>
      </c>
      <c r="B214" s="76" t="inlineStr">
        <is>
          <t>Tokio</t>
        </is>
      </c>
      <c r="C214" s="76" t="inlineStr">
        <is>
          <t>Kanto</t>
        </is>
      </c>
      <c r="D214" s="76" t="inlineStr">
        <is>
          <t>Tokio</t>
        </is>
      </c>
      <c r="E214" s="76" t="inlineStr">
        <is>
          <t>Shinjuku</t>
        </is>
      </c>
      <c r="F214" s="76" t="inlineStr">
        <is>
          <t>Nishi-Shinjuku</t>
        </is>
      </c>
      <c r="G214" s="76" t="inlineStr">
        <is>
          <t>Shinjuku</t>
        </is>
      </c>
      <c r="H214" s="76" t="inlineStr">
        <is>
          <t>Tokyo Marathon 2027</t>
        </is>
      </c>
      <c r="I214" s="76" t="inlineStr">
        <is>
          <t>東京マラソン2027</t>
        </is>
      </c>
      <c r="J214" s="76" t="inlineStr">
        <is>
          <t>Tokyo Marathon 2027</t>
        </is>
      </c>
      <c r="K214" s="76" t="inlineStr">
        <is>
          <t>🎆 Eventos</t>
        </is>
      </c>
      <c r="L214" s="76" t="inlineStr">
        <is>
          <t>maratón / evento urbano</t>
        </is>
      </c>
      <c r="M214" s="76" t="inlineStr">
        <is>
          <t>B</t>
        </is>
      </c>
      <c r="N214" s="75" t="inlineStr">
        <is>
          <t>Interesante como espectador y crítico para la logística urbana del 7 de marzo.</t>
        </is>
      </c>
      <c r="O214" s="75" t="inlineStr">
        <is>
          <t>Maratón internacional que atraviesa zonas centrales de Tokio.</t>
        </is>
      </c>
      <c r="P214" s="75" t="inlineStr">
        <is>
          <t>Aporta ambiente deportivo, pero también cierres viales y saturación de transporte.</t>
        </is>
      </c>
      <c r="Q214" s="75" t="inlineStr">
        <is>
          <t>Ver la salida/paso de corredores o evitar los cortes según interés.</t>
        </is>
      </c>
      <c r="R214" s="75" t="inlineStr">
        <is>
          <t>1–4 h</t>
        </is>
      </c>
      <c r="S214" s="75" t="inlineStr">
        <is>
          <t>Mañana</t>
        </is>
      </c>
      <c r="T214" s="75" t="inlineStr">
        <is>
          <t>7 mar 2027</t>
        </is>
      </c>
      <c r="U214" s="75" t="inlineStr">
        <is>
          <t>Extremo</t>
        </is>
      </c>
      <c r="V214" s="75" t="inlineStr">
        <is>
          <t>Extremo</t>
        </is>
      </c>
      <c r="W214" s="92" t="n">
        <v>0</v>
      </c>
      <c r="X214" s="92" t="n">
        <v>0</v>
      </c>
      <c r="Y214" s="92">
        <f>W214*'Configuración'!$B$4</f>
        <v/>
      </c>
      <c r="Z214" s="92">
        <f>X214*'Configuración'!$B$4</f>
        <v/>
      </c>
      <c r="AA214" s="75" t="inlineStr">
        <is>
          <t>No para espectador</t>
        </is>
      </c>
      <c r="AB214" s="75" t="inlineStr">
        <is>
          <t>Participación: proceso separado</t>
        </is>
      </c>
      <c r="AC214" s="75" t="inlineStr">
        <is>
          <t>Salida matutina; cortes variables</t>
        </is>
      </c>
      <c r="AD214" s="75" t="inlineStr">
        <is>
          <t>Solo el evento</t>
        </is>
      </c>
      <c r="AE214" s="75" t="inlineStr">
        <is>
          <t>Tocho-mae / Shinjuku</t>
        </is>
      </c>
      <c r="AF214" s="75" t="inlineStr">
        <is>
          <t>Alta como espectador; multitudes</t>
        </is>
      </c>
      <c r="AG214" s="75" t="n">
        <v>35.6896</v>
      </c>
      <c r="AH214" s="75" t="n">
        <v>139.6917</v>
      </c>
      <c r="AI214" s="75" t="inlineStr">
        <is>
          <t>https://www.marathon.tokyo/en/news/detail/news_20260415111128.html</t>
        </is>
      </c>
      <c r="AJ214" s="75" t="inlineStr">
        <is>
          <t>Cambiante</t>
        </is>
      </c>
      <c r="AK214" s="75" t="inlineStr">
        <is>
          <t>CONFIRMED EVENT / LOGISTICS</t>
        </is>
      </c>
      <c r="AL214" s="75" t="inlineStr">
        <is>
          <t>deporte, ambiente urbano, logística</t>
        </is>
      </c>
      <c r="AM214" s="75" t="n">
        <v>3</v>
      </c>
      <c r="AN214" s="75" t="n">
        <v>4</v>
      </c>
      <c r="AO214" s="75" t="n">
        <v>3</v>
      </c>
      <c r="AP214" s="75" t="n">
        <v>5</v>
      </c>
      <c r="AQ214" s="75" t="inlineStr">
        <is>
          <t>Imagen recomendada: corredores con skyline de Shinjuku.</t>
        </is>
      </c>
      <c r="AR214" s="75" t="n"/>
      <c r="AS214" s="75" t="inlineStr">
        <is>
          <t>Popular / turístico</t>
        </is>
      </c>
      <c r="AT214" s="75" t="n"/>
      <c r="AU214" s="75" t="inlineStr">
        <is>
          <t>https://www.google.com/maps/search/?api=1&amp;query=Tokyo%20Metropolitan%20Government%20Building%20Japan</t>
        </is>
      </c>
      <c r="AV214" s="75" t="inlineStr">
        <is>
          <t>2026-09-01</t>
        </is>
      </c>
      <c r="AW214" s="75" t="inlineStr">
        <is>
          <t>CONFIRMADO 2027</t>
        </is>
      </c>
      <c r="AX214" s="75" t="inlineStr">
        <is>
          <t>Carrera el 7 mar 2027; la expo será 4–6 mar y habrá cierres viales.</t>
        </is>
      </c>
      <c r="AY214" s="75" t="inlineStr">
        <is>
          <t>Revisar mapa de cortes y transporte en febrero de 2027.</t>
        </is>
      </c>
    </row>
    <row r="215">
      <c r="A215" s="76" t="inlineStr">
        <is>
          <t>JP-214</t>
        </is>
      </c>
      <c r="B215" s="76" t="inlineStr">
        <is>
          <t>Fukuoka</t>
        </is>
      </c>
      <c r="C215" s="76" t="inlineStr">
        <is>
          <t>Kyushu</t>
        </is>
      </c>
      <c r="D215" s="76" t="inlineStr">
        <is>
          <t>Fukuoka</t>
        </is>
      </c>
      <c r="E215" s="76" t="inlineStr">
        <is>
          <t>Yanagawa</t>
        </is>
      </c>
      <c r="F215" s="76" t="inlineStr">
        <is>
          <t>Canales de Yanagawa</t>
        </is>
      </c>
      <c r="G215" s="76" t="inlineStr">
        <is>
          <t>Yanagawa</t>
        </is>
      </c>
      <c r="H215" s="76" t="inlineStr">
        <is>
          <t>Yanagawa canal cruise</t>
        </is>
      </c>
      <c r="I215" s="76" t="inlineStr">
        <is>
          <t>柳川川下り</t>
        </is>
      </c>
      <c r="J215" s="76" t="inlineStr">
        <is>
          <t>Yanagawa canal cruise</t>
        </is>
      </c>
      <c r="K215" s="76" t="inlineStr">
        <is>
          <t>🚂 Experiencias especiales</t>
        </is>
      </c>
      <c r="L215" s="76" t="inlineStr">
        <is>
          <t>paseo en barca</t>
        </is>
      </c>
      <c r="M215" s="76" t="inlineStr">
        <is>
          <t>B</t>
        </is>
      </c>
      <c r="N215" s="75" t="inlineStr">
        <is>
          <t>Experiencia tranquila y distinta, recomendable si encaja desde Fukuoka.</t>
        </is>
      </c>
      <c r="O215" s="75" t="inlineStr">
        <is>
          <t>Recorrido en donkobune por canales históricos con barquero.</t>
        </is>
      </c>
      <c r="P215" s="75" t="inlineStr">
        <is>
          <t>Ritmo lento, paisaje urbano acuático y servicio individual sin reserva en muchos casos.</t>
        </is>
      </c>
      <c r="Q215" s="75" t="inlineStr">
        <is>
          <t>Paseo de 60–70 min por canales, puentes y barrios históricos.</t>
        </is>
      </c>
      <c r="R215" s="75" t="inlineStr">
        <is>
          <t>2–4 h</t>
        </is>
      </c>
      <c r="S215" s="75" t="inlineStr">
        <is>
          <t>Mañana o tarde</t>
        </is>
      </c>
      <c r="T215" s="75" t="inlineStr">
        <is>
          <t>Todo el año; abrigo kotatsu en invierno</t>
        </is>
      </c>
      <c r="U215" s="75" t="inlineStr">
        <is>
          <t>Medio</t>
        </is>
      </c>
      <c r="V215" s="75" t="inlineStr">
        <is>
          <t>Medio</t>
        </is>
      </c>
      <c r="W215" s="92" t="n">
        <v>1800</v>
      </c>
      <c r="X215" s="92" t="n">
        <v>2200</v>
      </c>
      <c r="Y215" s="92">
        <f>W215*'Configuración'!$B$4</f>
        <v/>
      </c>
      <c r="Z215" s="92">
        <f>X215*'Configuración'!$B$4</f>
        <v/>
      </c>
      <c r="AA215" s="75" t="inlineStr">
        <is>
          <t>Opcional</t>
        </is>
      </c>
      <c r="AB215" s="75" t="inlineStr">
        <is>
          <t>Grupos: reservar; individuales según operador</t>
        </is>
      </c>
      <c r="AC215" s="75" t="inlineStr">
        <is>
          <t>Variable por operador</t>
        </is>
      </c>
      <c r="AD215" s="75" t="inlineStr">
        <is>
          <t>Operadores individuales</t>
        </is>
      </c>
      <c r="AE215" s="75" t="inlineStr">
        <is>
          <t>Nishitetsu Yanagawa + 5–10 min</t>
        </is>
      </c>
      <c r="AF215" s="75" t="inlineStr">
        <is>
          <t>Media; acceso a barca y escalones</t>
        </is>
      </c>
      <c r="AG215" s="75" t="n">
        <v>33.163</v>
      </c>
      <c r="AH215" s="75" t="n">
        <v>130.4056</v>
      </c>
      <c r="AI215" s="75" t="inlineStr">
        <is>
          <t>https://www.crossroadfukuoka.jp/en/articles/yanagawa-kawakudari</t>
        </is>
      </c>
      <c r="AJ215" s="75" t="inlineStr">
        <is>
          <t>Cambiante</t>
        </is>
      </c>
      <c r="AK215" s="75" t="inlineStr">
        <is>
          <t>SLOW TRAVEL</t>
        </is>
      </c>
      <c r="AL215" s="75" t="inlineStr">
        <is>
          <t>pareja, cultura, relajación</t>
        </is>
      </c>
      <c r="AM215" s="75" t="n">
        <v>4</v>
      </c>
      <c r="AN215" s="75" t="n">
        <v>4</v>
      </c>
      <c r="AO215" s="75" t="n">
        <v>4</v>
      </c>
      <c r="AP215" s="75" t="n">
        <v>3</v>
      </c>
      <c r="AQ215" s="75" t="inlineStr">
        <is>
          <t>Imagen recomendada: donkobune bajo un puente bajo.</t>
        </is>
      </c>
      <c r="AR215" s="75" t="n"/>
      <c r="AS215" s="75" t="inlineStr">
        <is>
          <t>Semi-hidden</t>
        </is>
      </c>
      <c r="AT215" s="75" t="n"/>
      <c r="AU215" s="75" t="inlineStr">
        <is>
          <t>https://www.google.com/maps/search/?api=1&amp;query=Yanagawa%20canal%20cruise%20Japan</t>
        </is>
      </c>
      <c r="AV215" s="75" t="inlineStr">
        <is>
          <t>2026-09-01</t>
        </is>
      </c>
      <c r="AW215" s="75" t="inlineStr">
        <is>
          <t>OPERACIÓN PENDIENTE</t>
        </is>
      </c>
      <c r="AX215" s="75" t="inlineStr">
        <is>
          <t>Operadores, horarios y abrigo invernal varían.</t>
        </is>
      </c>
      <c r="AY215" s="75" t="inlineStr">
        <is>
          <t>Revisar operador y nivel del canal cerca del viaje.</t>
        </is>
      </c>
    </row>
  </sheetData>
  <conditionalFormatting sqref="M2:M203">
    <cfRule type="containsText" priority="1" operator="containsText" dxfId="0" text="S"/>
    <cfRule type="containsText" priority="2" operator="containsText" dxfId="1" text="A"/>
  </conditionalFormatting>
  <conditionalFormatting sqref="AM2:AP203">
    <cfRule type="colorScale" priority="3">
      <colorScale>
        <cfvo type="min"/>
        <cfvo type="percentile" val="50"/>
        <cfvo type="max"/>
        <color rgb="FFF3F4F6"/>
        <color rgb="FFFDE68A"/>
        <color rgb="FF86EFAC"/>
      </colorScale>
    </cfRule>
  </conditionalFormatting>
  <dataValidations count="3">
    <dataValidation sqref="M2:M500" showDropDown="0" showInputMessage="0" showErrorMessage="0" allowBlank="0" type="list">
      <formula1>"S,A,B,C,D"</formula1>
    </dataValidation>
    <dataValidation sqref="AJ2:AJ500" showDropDown="0" showInputMessage="0" showErrorMessage="0" allowBlank="0" type="list">
      <formula1>"Verificado,Pendiente,Cambiante,Requiere revisión cerca del viaje"</formula1>
    </dataValidation>
    <dataValidation sqref="AS2:AS500" showDropDown="0" showInputMessage="0" showErrorMessage="0" allowBlank="0" type="list">
      <formula1>"Hidden Gem real,Semi-hidden,Alternativa menos saturada,Lugar conocido pero excelente,Popular / turístico,No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.670000076293945" customWidth="1" min="2" max="2"/>
    <col width="22" customWidth="1" min="3" max="3"/>
    <col width="8.779999732971191" customWidth="1" min="4" max="4"/>
    <col width="4.889999866485596" customWidth="1" min="5" max="5"/>
    <col width="9.109999656677246" customWidth="1" min="6" max="6"/>
    <col width="9.560000419616699" customWidth="1" min="7" max="7"/>
    <col width="42" customWidth="1" min="8" max="8"/>
    <col width="38" customWidth="1" min="9" max="9"/>
  </cols>
  <sheetData>
    <row r="1" ht="30" customHeight="1">
      <c r="A1" s="15" t="inlineStr">
        <is>
          <t>Cluster ID</t>
        </is>
      </c>
      <c r="B1" s="15" t="inlineStr">
        <is>
          <t>Hub</t>
        </is>
      </c>
      <c r="C1" s="15" t="inlineStr">
        <is>
          <t>Cluster</t>
        </is>
      </c>
      <c r="D1" s="15" t="inlineStr">
        <is>
          <t>N.º fichas</t>
        </is>
      </c>
      <c r="E1" s="15" t="inlineStr">
        <is>
          <t>S/A</t>
        </is>
      </c>
      <c r="F1" s="15" t="inlineStr">
        <is>
          <t>Lat centro</t>
        </is>
      </c>
      <c r="G1" s="15" t="inlineStr">
        <is>
          <t>Lon centro</t>
        </is>
      </c>
      <c r="H1" s="15" t="inlineStr">
        <is>
          <t>IDs</t>
        </is>
      </c>
      <c r="I1" s="15" t="inlineStr">
        <is>
          <t>Descripción UI</t>
        </is>
      </c>
    </row>
    <row r="2" ht="44" customHeight="1">
      <c r="A2" s="16" t="inlineStr">
        <is>
          <t>CL-01</t>
        </is>
      </c>
      <c r="B2" s="16" t="inlineStr">
        <is>
          <t>Tokio</t>
        </is>
      </c>
      <c r="C2" s="16" t="inlineStr">
        <is>
          <t>Shibuya</t>
        </is>
      </c>
      <c r="D2" s="16" t="n">
        <v>3</v>
      </c>
      <c r="E2" s="16" t="n">
        <v>3</v>
      </c>
      <c r="F2" s="16" t="n">
        <v>35.66</v>
      </c>
      <c r="G2" s="16" t="n">
        <v>139.7005</v>
      </c>
      <c r="H2" s="16" t="inlineStr">
        <is>
          <t>JP-001, JP-002, JP-008</t>
        </is>
      </c>
      <c r="I2" s="16" t="inlineStr">
        <is>
          <t>Zona natural con 3 fichas; 3 clasificadas S/A.</t>
        </is>
      </c>
    </row>
    <row r="3" ht="44" customHeight="1">
      <c r="A3" s="16" t="inlineStr">
        <is>
          <t>CL-02</t>
        </is>
      </c>
      <c r="B3" s="16" t="inlineStr">
        <is>
          <t>Tokio</t>
        </is>
      </c>
      <c r="C3" s="16" t="inlineStr">
        <is>
          <t>Harajuku–Meiji</t>
        </is>
      </c>
      <c r="D3" s="16" t="n">
        <v>4</v>
      </c>
      <c r="E3" s="16" t="n">
        <v>3</v>
      </c>
      <c r="F3" s="16" t="n">
        <v>35.67097</v>
      </c>
      <c r="G3" s="16" t="n">
        <v>139.70412</v>
      </c>
      <c r="H3" s="16" t="inlineStr">
        <is>
          <t>JP-003, JP-004, JP-005, JP-007</t>
        </is>
      </c>
      <c r="I3" s="16" t="inlineStr">
        <is>
          <t>Zona natural con 4 fichas; 3 clasificadas S/A.</t>
        </is>
      </c>
    </row>
    <row r="4" ht="44" customHeight="1">
      <c r="A4" s="16" t="inlineStr">
        <is>
          <t>CL-03</t>
        </is>
      </c>
      <c r="B4" s="16" t="inlineStr">
        <is>
          <t>Tokio</t>
        </is>
      </c>
      <c r="C4" s="16" t="inlineStr">
        <is>
          <t>Aoyama–Omotesando</t>
        </is>
      </c>
      <c r="D4" s="16" t="n">
        <v>1</v>
      </c>
      <c r="E4" s="16" t="n">
        <v>1</v>
      </c>
      <c r="F4" s="16" t="n">
        <v>35.6622</v>
      </c>
      <c r="G4" s="16" t="n">
        <v>139.7171</v>
      </c>
      <c r="H4" s="16" t="inlineStr">
        <is>
          <t>JP-006</t>
        </is>
      </c>
      <c r="I4" s="16" t="inlineStr">
        <is>
          <t>Zona natural con 1 fichas; 1 clasificadas S/A.</t>
        </is>
      </c>
    </row>
    <row r="5" ht="44" customHeight="1">
      <c r="A5" s="16" t="inlineStr">
        <is>
          <t>CL-04</t>
        </is>
      </c>
      <c r="B5" s="16" t="inlineStr">
        <is>
          <t>Tokio</t>
        </is>
      </c>
      <c r="C5" s="16" t="inlineStr">
        <is>
          <t>Daikanyama–Ebisu</t>
        </is>
      </c>
      <c r="D5" s="16" t="n">
        <v>1</v>
      </c>
      <c r="E5" s="16" t="n">
        <v>1</v>
      </c>
      <c r="F5" s="16" t="n">
        <v>35.6488</v>
      </c>
      <c r="G5" s="16" t="n">
        <v>139.6997</v>
      </c>
      <c r="H5" s="16" t="inlineStr">
        <is>
          <t>JP-009</t>
        </is>
      </c>
      <c r="I5" s="16" t="inlineStr">
        <is>
          <t>Zona natural con 1 fichas; 1 clasificadas S/A.</t>
        </is>
      </c>
    </row>
    <row r="6" ht="44" customHeight="1">
      <c r="A6" s="16" t="inlineStr">
        <is>
          <t>CL-05</t>
        </is>
      </c>
      <c r="B6" s="16" t="inlineStr">
        <is>
          <t>Tokio</t>
        </is>
      </c>
      <c r="C6" s="16" t="inlineStr">
        <is>
          <t>Shinjuku</t>
        </is>
      </c>
      <c r="D6" s="16" t="n">
        <v>5</v>
      </c>
      <c r="E6" s="16" t="n">
        <v>3</v>
      </c>
      <c r="F6" s="16" t="n">
        <v>35.69124</v>
      </c>
      <c r="G6" s="16" t="n">
        <v>139.70188</v>
      </c>
      <c r="H6" s="16" t="inlineStr">
        <is>
          <t>JP-010, JP-011, JP-012, JP-013, JP-014</t>
        </is>
      </c>
      <c r="I6" s="16" t="inlineStr">
        <is>
          <t>Zona natural con 5 fichas; 3 clasificadas S/A.</t>
        </is>
      </c>
    </row>
    <row r="7" ht="44" customHeight="1">
      <c r="A7" s="16" t="inlineStr">
        <is>
          <t>CL-06</t>
        </is>
      </c>
      <c r="B7" s="16" t="inlineStr">
        <is>
          <t>Tokio</t>
        </is>
      </c>
      <c r="C7" s="16" t="inlineStr">
        <is>
          <t>Kagurazaka</t>
        </is>
      </c>
      <c r="D7" s="16" t="n">
        <v>1</v>
      </c>
      <c r="E7" s="16" t="n">
        <v>1</v>
      </c>
      <c r="F7" s="16" t="n">
        <v>35.7016</v>
      </c>
      <c r="G7" s="16" t="n">
        <v>139.7403</v>
      </c>
      <c r="H7" s="16" t="inlineStr">
        <is>
          <t>JP-015</t>
        </is>
      </c>
      <c r="I7" s="16" t="inlineStr">
        <is>
          <t>Zona natural con 1 fichas; 1 clasificadas S/A.</t>
        </is>
      </c>
    </row>
    <row r="8" ht="44" customHeight="1">
      <c r="A8" s="16" t="inlineStr">
        <is>
          <t>CL-07</t>
        </is>
      </c>
      <c r="B8" s="16" t="inlineStr">
        <is>
          <t>Tokio</t>
        </is>
      </c>
      <c r="C8" s="16" t="inlineStr">
        <is>
          <t>Asakusa</t>
        </is>
      </c>
      <c r="D8" s="16" t="n">
        <v>3</v>
      </c>
      <c r="E8" s="16" t="n">
        <v>3</v>
      </c>
      <c r="F8" s="16" t="n">
        <v>35.71373</v>
      </c>
      <c r="G8" s="16" t="n">
        <v>139.79393</v>
      </c>
      <c r="H8" s="16" t="inlineStr">
        <is>
          <t>JP-016, JP-017, JP-018</t>
        </is>
      </c>
      <c r="I8" s="16" t="inlineStr">
        <is>
          <t>Zona natural con 3 fichas; 3 clasificadas S/A.</t>
        </is>
      </c>
    </row>
    <row r="9" ht="44" customHeight="1">
      <c r="A9" s="16" t="inlineStr">
        <is>
          <t>CL-08</t>
        </is>
      </c>
      <c r="B9" s="16" t="inlineStr">
        <is>
          <t>Tokio</t>
        </is>
      </c>
      <c r="C9" s="16" t="inlineStr">
        <is>
          <t>Skytree–Sumida</t>
        </is>
      </c>
      <c r="D9" s="16" t="n">
        <v>2</v>
      </c>
      <c r="E9" s="16" t="n">
        <v>2</v>
      </c>
      <c r="F9" s="16" t="n">
        <v>35.7032</v>
      </c>
      <c r="G9" s="16" t="n">
        <v>139.8056</v>
      </c>
      <c r="H9" s="16" t="inlineStr">
        <is>
          <t>JP-019, JP-020</t>
        </is>
      </c>
      <c r="I9" s="16" t="inlineStr">
        <is>
          <t>Zona natural con 2 fichas; 2 clasificadas S/A.</t>
        </is>
      </c>
    </row>
    <row r="10" ht="44" customHeight="1">
      <c r="A10" s="16" t="inlineStr">
        <is>
          <t>CL-09</t>
        </is>
      </c>
      <c r="B10" s="16" t="inlineStr">
        <is>
          <t>Tokio</t>
        </is>
      </c>
      <c r="C10" s="16" t="inlineStr">
        <is>
          <t>Ueno–Yanaka</t>
        </is>
      </c>
      <c r="D10" s="16" t="n">
        <v>4</v>
      </c>
      <c r="E10" s="16" t="n">
        <v>3</v>
      </c>
      <c r="F10" s="16" t="n">
        <v>35.71917</v>
      </c>
      <c r="G10" s="16" t="n">
        <v>139.76975</v>
      </c>
      <c r="H10" s="16" t="inlineStr">
        <is>
          <t>JP-021, JP-022, JP-023, JP-024</t>
        </is>
      </c>
      <c r="I10" s="16" t="inlineStr">
        <is>
          <t>Zona natural con 4 fichas; 3 clasificadas S/A.</t>
        </is>
      </c>
    </row>
    <row r="11" ht="44" customHeight="1">
      <c r="A11" s="16" t="inlineStr">
        <is>
          <t>CL-10</t>
        </is>
      </c>
      <c r="B11" s="16" t="inlineStr">
        <is>
          <t>Tokio</t>
        </is>
      </c>
      <c r="C11" s="16" t="inlineStr">
        <is>
          <t>Akihabara–Kanda</t>
        </is>
      </c>
      <c r="D11" s="16" t="n">
        <v>3</v>
      </c>
      <c r="E11" s="16" t="n">
        <v>3</v>
      </c>
      <c r="F11" s="16" t="n">
        <v>35.7003</v>
      </c>
      <c r="G11" s="16" t="n">
        <v>139.7708</v>
      </c>
      <c r="H11" s="16" t="inlineStr">
        <is>
          <t>JP-025, JP-026, JP-027</t>
        </is>
      </c>
      <c r="I11" s="16" t="inlineStr">
        <is>
          <t>Zona natural con 3 fichas; 3 clasificadas S/A.</t>
        </is>
      </c>
    </row>
    <row r="12" ht="44" customHeight="1">
      <c r="A12" s="16" t="inlineStr">
        <is>
          <t>CL-11</t>
        </is>
      </c>
      <c r="B12" s="16" t="inlineStr">
        <is>
          <t>Tokio</t>
        </is>
      </c>
      <c r="C12" s="16" t="inlineStr">
        <is>
          <t>Jimbocho</t>
        </is>
      </c>
      <c r="D12" s="16" t="n">
        <v>1</v>
      </c>
      <c r="E12" s="16" t="n">
        <v>1</v>
      </c>
      <c r="F12" s="16" t="n">
        <v>35.6956</v>
      </c>
      <c r="G12" s="16" t="n">
        <v>139.7576</v>
      </c>
      <c r="H12" s="16" t="inlineStr">
        <is>
          <t>JP-028</t>
        </is>
      </c>
      <c r="I12" s="16" t="inlineStr">
        <is>
          <t>Zona natural con 1 fichas; 1 clasificadas S/A.</t>
        </is>
      </c>
    </row>
    <row r="13" ht="44" customHeight="1">
      <c r="A13" s="16" t="inlineStr">
        <is>
          <t>CL-12</t>
        </is>
      </c>
      <c r="B13" s="16" t="inlineStr">
        <is>
          <t>Tokio</t>
        </is>
      </c>
      <c r="C13" s="16" t="inlineStr">
        <is>
          <t>Marunouchi–Ginza</t>
        </is>
      </c>
      <c r="D13" s="16" t="n">
        <v>4</v>
      </c>
      <c r="E13" s="16" t="n">
        <v>3</v>
      </c>
      <c r="F13" s="16" t="n">
        <v>35.6729</v>
      </c>
      <c r="G13" s="16" t="n">
        <v>139.76353</v>
      </c>
      <c r="H13" s="16" t="inlineStr">
        <is>
          <t>JP-029, JP-030, JP-031, JP-032</t>
        </is>
      </c>
      <c r="I13" s="16" t="inlineStr">
        <is>
          <t>Zona natural con 4 fichas; 3 clasificadas S/A.</t>
        </is>
      </c>
    </row>
    <row r="14" ht="44" customHeight="1">
      <c r="A14" s="16" t="inlineStr">
        <is>
          <t>CL-13</t>
        </is>
      </c>
      <c r="B14" s="16" t="inlineStr">
        <is>
          <t>Tokio</t>
        </is>
      </c>
      <c r="C14" s="16" t="inlineStr">
        <is>
          <t>Roppongi–Azabudai</t>
        </is>
      </c>
      <c r="D14" s="16" t="n">
        <v>4</v>
      </c>
      <c r="E14" s="16" t="n">
        <v>4</v>
      </c>
      <c r="F14" s="16" t="n">
        <v>35.66342</v>
      </c>
      <c r="G14" s="16" t="n">
        <v>139.73157</v>
      </c>
      <c r="H14" s="16" t="inlineStr">
        <is>
          <t>JP-033, JP-034, JP-035, JP-036</t>
        </is>
      </c>
      <c r="I14" s="16" t="inlineStr">
        <is>
          <t>Zona natural con 4 fichas; 4 clasificadas S/A.</t>
        </is>
      </c>
    </row>
    <row r="15" ht="44" customHeight="1">
      <c r="A15" s="16" t="inlineStr">
        <is>
          <t>CL-14</t>
        </is>
      </c>
      <c r="B15" s="16" t="inlineStr">
        <is>
          <t>Tokio</t>
        </is>
      </c>
      <c r="C15" s="16" t="inlineStr">
        <is>
          <t>Tokyo Tower</t>
        </is>
      </c>
      <c r="D15" s="16" t="n">
        <v>1</v>
      </c>
      <c r="E15" s="16" t="n">
        <v>1</v>
      </c>
      <c r="F15" s="16" t="n">
        <v>35.6575</v>
      </c>
      <c r="G15" s="16" t="n">
        <v>139.7483</v>
      </c>
      <c r="H15" s="16" t="inlineStr">
        <is>
          <t>JP-037</t>
        </is>
      </c>
      <c r="I15" s="16" t="inlineStr">
        <is>
          <t>Zona natural con 1 fichas; 1 clasificadas S/A.</t>
        </is>
      </c>
    </row>
    <row r="16" ht="44" customHeight="1">
      <c r="A16" s="16" t="inlineStr">
        <is>
          <t>CL-15</t>
        </is>
      </c>
      <c r="B16" s="16" t="inlineStr">
        <is>
          <t>Tokio</t>
        </is>
      </c>
      <c r="C16" s="16" t="inlineStr">
        <is>
          <t>Toyosu–Odaiba</t>
        </is>
      </c>
      <c r="D16" s="16" t="n">
        <v>6</v>
      </c>
      <c r="E16" s="16" t="n">
        <v>4</v>
      </c>
      <c r="F16" s="16" t="n">
        <v>35.6348</v>
      </c>
      <c r="G16" s="16" t="n">
        <v>139.78183</v>
      </c>
      <c r="H16" s="16" t="inlineStr">
        <is>
          <t>JP-038, JP-039, JP-040, JP-041, JP-042, JP-043</t>
        </is>
      </c>
      <c r="I16" s="16" t="inlineStr">
        <is>
          <t>Zona natural con 6 fichas; 4 clasificadas S/A.</t>
        </is>
      </c>
    </row>
    <row r="17" ht="44" customHeight="1">
      <c r="A17" s="16" t="inlineStr">
        <is>
          <t>CL-16</t>
        </is>
      </c>
      <c r="B17" s="16" t="inlineStr">
        <is>
          <t>Tokio</t>
        </is>
      </c>
      <c r="C17" s="16" t="inlineStr">
        <is>
          <t>Kichijoji–Mitaka</t>
        </is>
      </c>
      <c r="D17" s="16" t="n">
        <v>2</v>
      </c>
      <c r="E17" s="16" t="n">
        <v>2</v>
      </c>
      <c r="F17" s="16" t="n">
        <v>35.69825</v>
      </c>
      <c r="G17" s="16" t="n">
        <v>139.57505</v>
      </c>
      <c r="H17" s="16" t="inlineStr">
        <is>
          <t>JP-044, JP-045</t>
        </is>
      </c>
      <c r="I17" s="16" t="inlineStr">
        <is>
          <t>Zona natural con 2 fichas; 2 clasificadas S/A.</t>
        </is>
      </c>
    </row>
    <row r="18" ht="44" customHeight="1">
      <c r="A18" s="16" t="inlineStr">
        <is>
          <t>CL-17</t>
        </is>
      </c>
      <c r="B18" s="16" t="inlineStr">
        <is>
          <t>Tokio</t>
        </is>
      </c>
      <c r="C18" s="16" t="inlineStr">
        <is>
          <t>Nakano</t>
        </is>
      </c>
      <c r="D18" s="16" t="n">
        <v>1</v>
      </c>
      <c r="E18" s="16" t="n">
        <v>1</v>
      </c>
      <c r="F18" s="16" t="n">
        <v>35.7092</v>
      </c>
      <c r="G18" s="16" t="n">
        <v>139.6657</v>
      </c>
      <c r="H18" s="16" t="inlineStr">
        <is>
          <t>JP-046</t>
        </is>
      </c>
      <c r="I18" s="16" t="inlineStr">
        <is>
          <t>Zona natural con 1 fichas; 1 clasificadas S/A.</t>
        </is>
      </c>
    </row>
    <row r="19" ht="44" customHeight="1">
      <c r="A19" s="16" t="inlineStr">
        <is>
          <t>CL-18</t>
        </is>
      </c>
      <c r="B19" s="16" t="inlineStr">
        <is>
          <t>Tokio</t>
        </is>
      </c>
      <c r="C19" s="16" t="inlineStr">
        <is>
          <t>West Tokyo</t>
        </is>
      </c>
      <c r="D19" s="16" t="n">
        <v>3</v>
      </c>
      <c r="E19" s="16" t="n">
        <v>3</v>
      </c>
      <c r="F19" s="16" t="n">
        <v>35.65547</v>
      </c>
      <c r="G19" s="16" t="n">
        <v>139.4246</v>
      </c>
      <c r="H19" s="16" t="inlineStr">
        <is>
          <t>JP-047, JP-050, JP-051</t>
        </is>
      </c>
      <c r="I19" s="16" t="inlineStr">
        <is>
          <t>Zona natural con 3 fichas; 3 clasificadas S/A.</t>
        </is>
      </c>
    </row>
    <row r="20" ht="44" customHeight="1">
      <c r="A20" s="16" t="inlineStr">
        <is>
          <t>CL-19</t>
        </is>
      </c>
      <c r="B20" s="16" t="inlineStr">
        <is>
          <t>Tokio</t>
        </is>
      </c>
      <c r="C20" s="16" t="inlineStr">
        <is>
          <t>Shimokitazawa</t>
        </is>
      </c>
      <c r="D20" s="16" t="n">
        <v>1</v>
      </c>
      <c r="E20" s="16" t="n">
        <v>1</v>
      </c>
      <c r="F20" s="16" t="n">
        <v>35.6616</v>
      </c>
      <c r="G20" s="16" t="n">
        <v>139.6681</v>
      </c>
      <c r="H20" s="16" t="inlineStr">
        <is>
          <t>JP-048</t>
        </is>
      </c>
      <c r="I20" s="16" t="inlineStr">
        <is>
          <t>Zona natural con 1 fichas; 1 clasificadas S/A.</t>
        </is>
      </c>
    </row>
    <row r="21" ht="44" customHeight="1">
      <c r="A21" s="16" t="inlineStr">
        <is>
          <t>CL-20</t>
        </is>
      </c>
      <c r="B21" s="16" t="inlineStr">
        <is>
          <t>Tokio</t>
        </is>
      </c>
      <c r="C21" s="16" t="inlineStr">
        <is>
          <t>Ikebukuro</t>
        </is>
      </c>
      <c r="D21" s="16" t="n">
        <v>1</v>
      </c>
      <c r="E21" s="16" t="n">
        <v>1</v>
      </c>
      <c r="F21" s="16" t="n">
        <v>35.7295</v>
      </c>
      <c r="G21" s="16" t="n">
        <v>139.7199</v>
      </c>
      <c r="H21" s="16" t="inlineStr">
        <is>
          <t>JP-049</t>
        </is>
      </c>
      <c r="I21" s="16" t="inlineStr">
        <is>
          <t>Zona natural con 1 fichas; 1 clasificadas S/A.</t>
        </is>
      </c>
    </row>
    <row r="22" ht="44" customHeight="1">
      <c r="A22" s="16" t="inlineStr">
        <is>
          <t>CL-21</t>
        </is>
      </c>
      <c r="B22" s="16" t="inlineStr">
        <is>
          <t>Tokio</t>
        </is>
      </c>
      <c r="C22" s="16" t="inlineStr">
        <is>
          <t>Okutama–Mitake</t>
        </is>
      </c>
      <c r="D22" s="16" t="n">
        <v>1</v>
      </c>
      <c r="E22" s="16" t="n">
        <v>1</v>
      </c>
      <c r="F22" s="16" t="n">
        <v>35.7827</v>
      </c>
      <c r="G22" s="16" t="n">
        <v>139.1491</v>
      </c>
      <c r="H22" s="16" t="inlineStr">
        <is>
          <t>JP-052</t>
        </is>
      </c>
      <c r="I22" s="16" t="inlineStr">
        <is>
          <t>Zona natural con 1 fichas; 1 clasificadas S/A.</t>
        </is>
      </c>
    </row>
    <row r="23" ht="44" customHeight="1">
      <c r="A23" s="16" t="inlineStr">
        <is>
          <t>CL-22</t>
        </is>
      </c>
      <c r="B23" s="16" t="inlineStr">
        <is>
          <t>Tokio</t>
        </is>
      </c>
      <c r="C23" s="16" t="inlineStr">
        <is>
          <t>Ryogoku</t>
        </is>
      </c>
      <c r="D23" s="16" t="n">
        <v>1</v>
      </c>
      <c r="E23" s="16" t="n">
        <v>1</v>
      </c>
      <c r="F23" s="16" t="n">
        <v>35.6966</v>
      </c>
      <c r="G23" s="16" t="n">
        <v>139.7967</v>
      </c>
      <c r="H23" s="16" t="inlineStr">
        <is>
          <t>JP-053</t>
        </is>
      </c>
      <c r="I23" s="16" t="inlineStr">
        <is>
          <t>Zona natural con 1 fichas; 1 clasificadas S/A.</t>
        </is>
      </c>
    </row>
    <row r="24" ht="44" customHeight="1">
      <c r="A24" s="16" t="inlineStr">
        <is>
          <t>CL-23</t>
        </is>
      </c>
      <c r="B24" s="16" t="inlineStr">
        <is>
          <t>Kioto</t>
        </is>
      </c>
      <c r="C24" s="16" t="inlineStr">
        <is>
          <t>Kiyomizu–Gion</t>
        </is>
      </c>
      <c r="D24" s="16" t="n">
        <v>7</v>
      </c>
      <c r="E24" s="16" t="n">
        <v>5</v>
      </c>
      <c r="F24" s="16" t="n">
        <v>34.99983</v>
      </c>
      <c r="G24" s="16" t="n">
        <v>135.7789</v>
      </c>
      <c r="H24" s="16" t="inlineStr">
        <is>
          <t>JP-054, JP-055, JP-056, JP-057, JP-058, JP-059, JP-101</t>
        </is>
      </c>
      <c r="I24" s="16" t="inlineStr">
        <is>
          <t>Zona natural con 7 fichas; 5 clasificadas S/A.</t>
        </is>
      </c>
    </row>
    <row r="25" ht="44" customHeight="1">
      <c r="A25" s="16" t="inlineStr">
        <is>
          <t>CL-24</t>
        </is>
      </c>
      <c r="B25" s="16" t="inlineStr">
        <is>
          <t>Kioto</t>
        </is>
      </c>
      <c r="C25" s="16" t="inlineStr">
        <is>
          <t>Okazaki–Philosopher</t>
        </is>
      </c>
      <c r="D25" s="16" t="n">
        <v>6</v>
      </c>
      <c r="E25" s="16" t="n">
        <v>5</v>
      </c>
      <c r="F25" s="16" t="n">
        <v>35.01865</v>
      </c>
      <c r="G25" s="16" t="n">
        <v>135.79555</v>
      </c>
      <c r="H25" s="16" t="inlineStr">
        <is>
          <t>JP-060, JP-061, JP-062, JP-063, JP-064, JP-065</t>
        </is>
      </c>
      <c r="I25" s="16" t="inlineStr">
        <is>
          <t>Zona natural con 6 fichas; 5 clasificadas S/A.</t>
        </is>
      </c>
    </row>
    <row r="26" ht="44" customHeight="1">
      <c r="A26" s="16" t="inlineStr">
        <is>
          <t>CL-25</t>
        </is>
      </c>
      <c r="B26" s="16" t="inlineStr">
        <is>
          <t>Kioto</t>
        </is>
      </c>
      <c r="C26" s="16" t="inlineStr">
        <is>
          <t>Fushimi Inari</t>
        </is>
      </c>
      <c r="D26" s="16" t="n">
        <v>1</v>
      </c>
      <c r="E26" s="16" t="n">
        <v>1</v>
      </c>
      <c r="F26" s="16" t="n">
        <v>34.9671</v>
      </c>
      <c r="G26" s="16" t="n">
        <v>135.7727</v>
      </c>
      <c r="H26" s="16" t="inlineStr">
        <is>
          <t>JP-066</t>
        </is>
      </c>
      <c r="I26" s="16" t="inlineStr">
        <is>
          <t>Zona natural con 1 fichas; 1 clasificadas S/A.</t>
        </is>
      </c>
    </row>
    <row r="27" ht="44" customHeight="1">
      <c r="A27" s="16" t="inlineStr">
        <is>
          <t>CL-26</t>
        </is>
      </c>
      <c r="B27" s="16" t="inlineStr">
        <is>
          <t>Kioto</t>
        </is>
      </c>
      <c r="C27" s="16" t="inlineStr">
        <is>
          <t>Fushimi–South</t>
        </is>
      </c>
      <c r="D27" s="16" t="n">
        <v>2</v>
      </c>
      <c r="E27" s="16" t="n">
        <v>2</v>
      </c>
      <c r="F27" s="16" t="n">
        <v>34.95475</v>
      </c>
      <c r="G27" s="16" t="n">
        <v>135.7677</v>
      </c>
      <c r="H27" s="16" t="inlineStr">
        <is>
          <t>JP-067, JP-068</t>
        </is>
      </c>
      <c r="I27" s="16" t="inlineStr">
        <is>
          <t>Zona natural con 2 fichas; 2 clasificadas S/A.</t>
        </is>
      </c>
    </row>
    <row r="28" ht="44" customHeight="1">
      <c r="A28" s="16" t="inlineStr">
        <is>
          <t>CL-27</t>
        </is>
      </c>
      <c r="B28" s="16" t="inlineStr">
        <is>
          <t>Kioto</t>
        </is>
      </c>
      <c r="C28" s="16" t="inlineStr">
        <is>
          <t>Yamashina</t>
        </is>
      </c>
      <c r="D28" s="16" t="n">
        <v>2</v>
      </c>
      <c r="E28" s="16" t="n">
        <v>2</v>
      </c>
      <c r="F28" s="16" t="n">
        <v>35.00735</v>
      </c>
      <c r="G28" s="16" t="n">
        <v>135.8158</v>
      </c>
      <c r="H28" s="16" t="inlineStr">
        <is>
          <t>JP-069, JP-070</t>
        </is>
      </c>
      <c r="I28" s="16" t="inlineStr">
        <is>
          <t>Zona natural con 2 fichas; 2 clasificadas S/A.</t>
        </is>
      </c>
    </row>
    <row r="29" ht="44" customHeight="1">
      <c r="A29" s="16" t="inlineStr">
        <is>
          <t>CL-28</t>
        </is>
      </c>
      <c r="B29" s="16" t="inlineStr">
        <is>
          <t>Kioto</t>
        </is>
      </c>
      <c r="C29" s="16" t="inlineStr">
        <is>
          <t>Arashiyama</t>
        </is>
      </c>
      <c r="D29" s="16" t="n">
        <v>3</v>
      </c>
      <c r="E29" s="16" t="n">
        <v>2</v>
      </c>
      <c r="F29" s="16" t="n">
        <v>35.0165</v>
      </c>
      <c r="G29" s="16" t="n">
        <v>135.67133</v>
      </c>
      <c r="H29" s="16" t="inlineStr">
        <is>
          <t>JP-071, JP-072, JP-073</t>
        </is>
      </c>
      <c r="I29" s="16" t="inlineStr">
        <is>
          <t>Zona natural con 3 fichas; 2 clasificadas S/A.</t>
        </is>
      </c>
    </row>
    <row r="30" ht="44" customHeight="1">
      <c r="A30" s="16" t="inlineStr">
        <is>
          <t>CL-29</t>
        </is>
      </c>
      <c r="B30" s="16" t="inlineStr">
        <is>
          <t>Kioto</t>
        </is>
      </c>
      <c r="C30" s="16" t="inlineStr">
        <is>
          <t>Arashiyama North</t>
        </is>
      </c>
      <c r="D30" s="16" t="n">
        <v>3</v>
      </c>
      <c r="E30" s="16" t="n">
        <v>3</v>
      </c>
      <c r="F30" s="16" t="n">
        <v>35.02667</v>
      </c>
      <c r="G30" s="16" t="n">
        <v>135.6641</v>
      </c>
      <c r="H30" s="16" t="inlineStr">
        <is>
          <t>JP-074, JP-075, JP-076</t>
        </is>
      </c>
      <c r="I30" s="16" t="inlineStr">
        <is>
          <t>Zona natural con 3 fichas; 3 clasificadas S/A.</t>
        </is>
      </c>
    </row>
    <row r="31" ht="44" customHeight="1">
      <c r="A31" s="16" t="inlineStr">
        <is>
          <t>CL-30</t>
        </is>
      </c>
      <c r="B31" s="16" t="inlineStr">
        <is>
          <t>Kioto</t>
        </is>
      </c>
      <c r="C31" s="16" t="inlineStr">
        <is>
          <t>Nishikyo</t>
        </is>
      </c>
      <c r="D31" s="16" t="n">
        <v>3</v>
      </c>
      <c r="E31" s="16" t="n">
        <v>3</v>
      </c>
      <c r="F31" s="16" t="n">
        <v>34.9779</v>
      </c>
      <c r="G31" s="16" t="n">
        <v>135.69123</v>
      </c>
      <c r="H31" s="16" t="inlineStr">
        <is>
          <t>JP-077, JP-078, JP-079</t>
        </is>
      </c>
      <c r="I31" s="16" t="inlineStr">
        <is>
          <t>Zona natural con 3 fichas; 3 clasificadas S/A.</t>
        </is>
      </c>
    </row>
    <row r="32" ht="44" customHeight="1">
      <c r="A32" s="16" t="inlineStr">
        <is>
          <t>CL-31</t>
        </is>
      </c>
      <c r="B32" s="16" t="inlineStr">
        <is>
          <t>Kioto</t>
        </is>
      </c>
      <c r="C32" s="16" t="inlineStr">
        <is>
          <t>North Kyoto</t>
        </is>
      </c>
      <c r="D32" s="16" t="n">
        <v>5</v>
      </c>
      <c r="E32" s="16" t="n">
        <v>5</v>
      </c>
      <c r="F32" s="16" t="n">
        <v>35.04254</v>
      </c>
      <c r="G32" s="16" t="n">
        <v>135.7461</v>
      </c>
      <c r="H32" s="16" t="inlineStr">
        <is>
          <t>JP-080, JP-081, JP-082, JP-083, JP-084</t>
        </is>
      </c>
      <c r="I32" s="16" t="inlineStr">
        <is>
          <t>Zona natural con 5 fichas; 5 clasificadas S/A.</t>
        </is>
      </c>
    </row>
    <row r="33" ht="44" customHeight="1">
      <c r="A33" s="16" t="inlineStr">
        <is>
          <t>CL-32</t>
        </is>
      </c>
      <c r="B33" s="16" t="inlineStr">
        <is>
          <t>Kioto</t>
        </is>
      </c>
      <c r="C33" s="16" t="inlineStr">
        <is>
          <t>Kurama–Kibune</t>
        </is>
      </c>
      <c r="D33" s="16" t="n">
        <v>1</v>
      </c>
      <c r="E33" s="16" t="n">
        <v>1</v>
      </c>
      <c r="F33" s="16" t="n">
        <v>35.1217</v>
      </c>
      <c r="G33" s="16" t="n">
        <v>135.7708</v>
      </c>
      <c r="H33" s="16" t="inlineStr">
        <is>
          <t>JP-085</t>
        </is>
      </c>
      <c r="I33" s="16" t="inlineStr">
        <is>
          <t>Zona natural con 1 fichas; 1 clasificadas S/A.</t>
        </is>
      </c>
    </row>
    <row r="34" ht="44" customHeight="1">
      <c r="A34" s="16" t="inlineStr">
        <is>
          <t>CL-33</t>
        </is>
      </c>
      <c r="B34" s="16" t="inlineStr">
        <is>
          <t>Kioto</t>
        </is>
      </c>
      <c r="C34" s="16" t="inlineStr">
        <is>
          <t>Ohara</t>
        </is>
      </c>
      <c r="D34" s="16" t="n">
        <v>2</v>
      </c>
      <c r="E34" s="16" t="n">
        <v>2</v>
      </c>
      <c r="F34" s="16" t="n">
        <v>35.1203</v>
      </c>
      <c r="G34" s="16" t="n">
        <v>135.83515</v>
      </c>
      <c r="H34" s="16" t="inlineStr">
        <is>
          <t>JP-086, JP-087</t>
        </is>
      </c>
      <c r="I34" s="16" t="inlineStr">
        <is>
          <t>Zona natural con 2 fichas; 2 clasificadas S/A.</t>
        </is>
      </c>
    </row>
    <row r="35" ht="44" customHeight="1">
      <c r="A35" s="16" t="inlineStr">
        <is>
          <t>CL-34</t>
        </is>
      </c>
      <c r="B35" s="16" t="inlineStr">
        <is>
          <t>Kioto</t>
        </is>
      </c>
      <c r="C35" s="16" t="inlineStr">
        <is>
          <t>Takao</t>
        </is>
      </c>
      <c r="D35" s="16" t="n">
        <v>1</v>
      </c>
      <c r="E35" s="16" t="n">
        <v>1</v>
      </c>
      <c r="F35" s="16" t="n">
        <v>35.0549</v>
      </c>
      <c r="G35" s="16" t="n">
        <v>135.6704</v>
      </c>
      <c r="H35" s="16" t="inlineStr">
        <is>
          <t>JP-088</t>
        </is>
      </c>
      <c r="I35" s="16" t="inlineStr">
        <is>
          <t>Zona natural con 1 fichas; 1 clasificadas S/A.</t>
        </is>
      </c>
    </row>
    <row r="36" ht="44" customHeight="1">
      <c r="A36" s="16" t="inlineStr">
        <is>
          <t>CL-35</t>
        </is>
      </c>
      <c r="B36" s="16" t="inlineStr">
        <is>
          <t>Kioto</t>
        </is>
      </c>
      <c r="C36" s="16" t="inlineStr">
        <is>
          <t>Central Kyoto</t>
        </is>
      </c>
      <c r="D36" s="16" t="n">
        <v>4</v>
      </c>
      <c r="E36" s="16" t="n">
        <v>3</v>
      </c>
      <c r="F36" s="16" t="n">
        <v>35.0137</v>
      </c>
      <c r="G36" s="16" t="n">
        <v>135.75868</v>
      </c>
      <c r="H36" s="16" t="inlineStr">
        <is>
          <t>JP-089, JP-090, JP-091, JP-092</t>
        </is>
      </c>
      <c r="I36" s="16" t="inlineStr">
        <is>
          <t>Zona natural con 4 fichas; 3 clasificadas S/A.</t>
        </is>
      </c>
    </row>
    <row r="37" ht="44" customHeight="1">
      <c r="A37" s="16" t="inlineStr">
        <is>
          <t>CL-36</t>
        </is>
      </c>
      <c r="B37" s="16" t="inlineStr">
        <is>
          <t>Kioto</t>
        </is>
      </c>
      <c r="C37" s="16" t="inlineStr">
        <is>
          <t>Station–South</t>
        </is>
      </c>
      <c r="D37" s="16" t="n">
        <v>4</v>
      </c>
      <c r="E37" s="16" t="n">
        <v>4</v>
      </c>
      <c r="F37" s="16" t="n">
        <v>34.9862</v>
      </c>
      <c r="G37" s="16" t="n">
        <v>135.76407</v>
      </c>
      <c r="H37" s="16" t="inlineStr">
        <is>
          <t>JP-093, JP-094, JP-095, JP-096</t>
        </is>
      </c>
      <c r="I37" s="16" t="inlineStr">
        <is>
          <t>Zona natural con 4 fichas; 4 clasificadas S/A.</t>
        </is>
      </c>
    </row>
    <row r="38" ht="44" customHeight="1">
      <c r="A38" s="16" t="inlineStr">
        <is>
          <t>CL-37</t>
        </is>
      </c>
      <c r="B38" s="16" t="inlineStr">
        <is>
          <t>Kioto</t>
        </is>
      </c>
      <c r="C38" s="16" t="inlineStr">
        <is>
          <t>Uji</t>
        </is>
      </c>
      <c r="D38" s="16" t="n">
        <v>3</v>
      </c>
      <c r="E38" s="16" t="n">
        <v>3</v>
      </c>
      <c r="F38" s="16" t="n">
        <v>34.89</v>
      </c>
      <c r="G38" s="16" t="n">
        <v>135.8001</v>
      </c>
      <c r="H38" s="16" t="inlineStr">
        <is>
          <t>JP-097, JP-098, JP-099</t>
        </is>
      </c>
      <c r="I38" s="16" t="inlineStr">
        <is>
          <t>Zona natural con 3 fichas; 3 clasificadas S/A.</t>
        </is>
      </c>
    </row>
    <row r="39" ht="44" customHeight="1">
      <c r="A39" s="16" t="inlineStr">
        <is>
          <t>CL-38</t>
        </is>
      </c>
      <c r="B39" s="16" t="inlineStr">
        <is>
          <t>Kioto</t>
        </is>
      </c>
      <c r="C39" s="16" t="inlineStr">
        <is>
          <t>Uzumasa</t>
        </is>
      </c>
      <c r="D39" s="16" t="n">
        <v>1</v>
      </c>
      <c r="E39" s="16" t="n">
        <v>1</v>
      </c>
      <c r="F39" s="16" t="n">
        <v>35.0164</v>
      </c>
      <c r="G39" s="16" t="n">
        <v>135.7083</v>
      </c>
      <c r="H39" s="16" t="inlineStr">
        <is>
          <t>JP-100</t>
        </is>
      </c>
      <c r="I39" s="16" t="inlineStr">
        <is>
          <t>Zona natural con 1 fichas; 1 clasificadas S/A.</t>
        </is>
      </c>
    </row>
    <row r="40" ht="44" customHeight="1">
      <c r="A40" s="16" t="inlineStr">
        <is>
          <t>CL-39</t>
        </is>
      </c>
      <c r="B40" s="16" t="inlineStr">
        <is>
          <t>Kioto</t>
        </is>
      </c>
      <c r="C40" s="16" t="inlineStr">
        <is>
          <t>Demachiyanagi</t>
        </is>
      </c>
      <c r="D40" s="16" t="n">
        <v>1</v>
      </c>
      <c r="E40" s="16" t="n">
        <v>1</v>
      </c>
      <c r="F40" s="16" t="n">
        <v>35.0302</v>
      </c>
      <c r="G40" s="16" t="n">
        <v>135.7694</v>
      </c>
      <c r="H40" s="16" t="inlineStr">
        <is>
          <t>JP-102</t>
        </is>
      </c>
      <c r="I40" s="16" t="inlineStr">
        <is>
          <t>Zona natural con 1 fichas; 1 clasificadas S/A.</t>
        </is>
      </c>
    </row>
    <row r="41" ht="44" customHeight="1">
      <c r="A41" s="16" t="inlineStr">
        <is>
          <t>CL-40</t>
        </is>
      </c>
      <c r="B41" s="16" t="inlineStr">
        <is>
          <t>Osaka</t>
        </is>
      </c>
      <c r="C41" s="16" t="inlineStr">
        <is>
          <t>Namba–Dotonbori</t>
        </is>
      </c>
      <c r="D41" s="16" t="n">
        <v>5</v>
      </c>
      <c r="E41" s="16" t="n">
        <v>2</v>
      </c>
      <c r="F41" s="16" t="n">
        <v>34.66636</v>
      </c>
      <c r="G41" s="16" t="n">
        <v>135.5013</v>
      </c>
      <c r="H41" s="16" t="inlineStr">
        <is>
          <t>JP-103, JP-104, JP-105, JP-106, JP-107</t>
        </is>
      </c>
      <c r="I41" s="16" t="inlineStr">
        <is>
          <t>Zona natural con 5 fichas; 2 clasificadas S/A.</t>
        </is>
      </c>
    </row>
    <row r="42" ht="44" customHeight="1">
      <c r="A42" s="16" t="inlineStr">
        <is>
          <t>CL-41</t>
        </is>
      </c>
      <c r="B42" s="16" t="inlineStr">
        <is>
          <t>Osaka</t>
        </is>
      </c>
      <c r="C42" s="16" t="inlineStr">
        <is>
          <t>Den Den Town</t>
        </is>
      </c>
      <c r="D42" s="16" t="n">
        <v>1</v>
      </c>
      <c r="E42" s="16" t="n">
        <v>1</v>
      </c>
      <c r="F42" s="16" t="n">
        <v>34.6564</v>
      </c>
      <c r="G42" s="16" t="n">
        <v>135.5062</v>
      </c>
      <c r="H42" s="16" t="inlineStr">
        <is>
          <t>JP-108</t>
        </is>
      </c>
      <c r="I42" s="16" t="inlineStr">
        <is>
          <t>Zona natural con 1 fichas; 1 clasificadas S/A.</t>
        </is>
      </c>
    </row>
    <row r="43" ht="44" customHeight="1">
      <c r="A43" s="16" t="inlineStr">
        <is>
          <t>CL-42</t>
        </is>
      </c>
      <c r="B43" s="16" t="inlineStr">
        <is>
          <t>Osaka</t>
        </is>
      </c>
      <c r="C43" s="16" t="inlineStr">
        <is>
          <t>Shinsekai–Tennoji</t>
        </is>
      </c>
      <c r="D43" s="16" t="n">
        <v>4</v>
      </c>
      <c r="E43" s="16" t="n">
        <v>3</v>
      </c>
      <c r="F43" s="16" t="n">
        <v>34.65147</v>
      </c>
      <c r="G43" s="16" t="n">
        <v>135.51067</v>
      </c>
      <c r="H43" s="16" t="inlineStr">
        <is>
          <t>JP-109, JP-110, JP-111, JP-119</t>
        </is>
      </c>
      <c r="I43" s="16" t="inlineStr">
        <is>
          <t>Zona natural con 4 fichas; 3 clasificadas S/A.</t>
        </is>
      </c>
    </row>
    <row r="44" ht="44" customHeight="1">
      <c r="A44" s="16" t="inlineStr">
        <is>
          <t>CL-43</t>
        </is>
      </c>
      <c r="B44" s="16" t="inlineStr">
        <is>
          <t>Osaka</t>
        </is>
      </c>
      <c r="C44" s="16" t="inlineStr">
        <is>
          <t>Umeda</t>
        </is>
      </c>
      <c r="D44" s="16" t="n">
        <v>2</v>
      </c>
      <c r="E44" s="16" t="n">
        <v>2</v>
      </c>
      <c r="F44" s="16" t="n">
        <v>34.70505</v>
      </c>
      <c r="G44" s="16" t="n">
        <v>135.49175</v>
      </c>
      <c r="H44" s="16" t="inlineStr">
        <is>
          <t>JP-112, JP-113</t>
        </is>
      </c>
      <c r="I44" s="16" t="inlineStr">
        <is>
          <t>Zona natural con 2 fichas; 2 clasificadas S/A.</t>
        </is>
      </c>
    </row>
    <row r="45" ht="44" customHeight="1">
      <c r="A45" s="16" t="inlineStr">
        <is>
          <t>CL-44</t>
        </is>
      </c>
      <c r="B45" s="16" t="inlineStr">
        <is>
          <t>Osaka</t>
        </is>
      </c>
      <c r="C45" s="16" t="inlineStr">
        <is>
          <t>Nakanoshima</t>
        </is>
      </c>
      <c r="D45" s="16" t="n">
        <v>2</v>
      </c>
      <c r="E45" s="16" t="n">
        <v>2</v>
      </c>
      <c r="F45" s="16" t="n">
        <v>34.69195</v>
      </c>
      <c r="G45" s="16" t="n">
        <v>135.49775</v>
      </c>
      <c r="H45" s="16" t="inlineStr">
        <is>
          <t>JP-114, JP-115</t>
        </is>
      </c>
      <c r="I45" s="16" t="inlineStr">
        <is>
          <t>Zona natural con 2 fichas; 2 clasificadas S/A.</t>
        </is>
      </c>
    </row>
    <row r="46" ht="44" customHeight="1">
      <c r="A46" s="16" t="inlineStr">
        <is>
          <t>CL-45</t>
        </is>
      </c>
      <c r="B46" s="16" t="inlineStr">
        <is>
          <t>Osaka</t>
        </is>
      </c>
      <c r="C46" s="16" t="inlineStr">
        <is>
          <t>Tenma</t>
        </is>
      </c>
      <c r="D46" s="16" t="n">
        <v>1</v>
      </c>
      <c r="E46" s="16" t="n">
        <v>1</v>
      </c>
      <c r="F46" s="16" t="n">
        <v>34.7105</v>
      </c>
      <c r="G46" s="16" t="n">
        <v>135.511</v>
      </c>
      <c r="H46" s="16" t="inlineStr">
        <is>
          <t>JP-116</t>
        </is>
      </c>
      <c r="I46" s="16" t="inlineStr">
        <is>
          <t>Zona natural con 1 fichas; 1 clasificadas S/A.</t>
        </is>
      </c>
    </row>
    <row r="47" ht="44" customHeight="1">
      <c r="A47" s="16" t="inlineStr">
        <is>
          <t>CL-46</t>
        </is>
      </c>
      <c r="B47" s="16" t="inlineStr">
        <is>
          <t>Osaka</t>
        </is>
      </c>
      <c r="C47" s="16" t="inlineStr">
        <is>
          <t>Osaka Castle</t>
        </is>
      </c>
      <c r="D47" s="16" t="n">
        <v>2</v>
      </c>
      <c r="E47" s="16" t="n">
        <v>2</v>
      </c>
      <c r="F47" s="16" t="n">
        <v>34.685</v>
      </c>
      <c r="G47" s="16" t="n">
        <v>135.52345</v>
      </c>
      <c r="H47" s="16" t="inlineStr">
        <is>
          <t>JP-117, JP-118</t>
        </is>
      </c>
      <c r="I47" s="16" t="inlineStr">
        <is>
          <t>Zona natural con 2 fichas; 2 clasificadas S/A.</t>
        </is>
      </c>
    </row>
    <row r="48" ht="44" customHeight="1">
      <c r="A48" s="16" t="inlineStr">
        <is>
          <t>CL-47</t>
        </is>
      </c>
      <c r="B48" s="16" t="inlineStr">
        <is>
          <t>Osaka</t>
        </is>
      </c>
      <c r="C48" s="16" t="inlineStr">
        <is>
          <t>Nagai</t>
        </is>
      </c>
      <c r="D48" s="16" t="n">
        <v>1</v>
      </c>
      <c r="E48" s="16" t="n">
        <v>1</v>
      </c>
      <c r="F48" s="16" t="n">
        <v>34.6103</v>
      </c>
      <c r="G48" s="16" t="n">
        <v>135.5216</v>
      </c>
      <c r="H48" s="16" t="inlineStr">
        <is>
          <t>JP-120</t>
        </is>
      </c>
      <c r="I48" s="16" t="inlineStr">
        <is>
          <t>Zona natural con 1 fichas; 1 clasificadas S/A.</t>
        </is>
      </c>
    </row>
    <row r="49" ht="44" customHeight="1">
      <c r="A49" s="16" t="inlineStr">
        <is>
          <t>CL-48</t>
        </is>
      </c>
      <c r="B49" s="16" t="inlineStr">
        <is>
          <t>Osaka</t>
        </is>
      </c>
      <c r="C49" s="16" t="inlineStr">
        <is>
          <t>Expo ’70 Park</t>
        </is>
      </c>
      <c r="D49" s="16" t="n">
        <v>1</v>
      </c>
      <c r="E49" s="16" t="n">
        <v>1</v>
      </c>
      <c r="F49" s="16" t="n">
        <v>34.8104</v>
      </c>
      <c r="G49" s="16" t="n">
        <v>135.5329</v>
      </c>
      <c r="H49" s="16" t="inlineStr">
        <is>
          <t>JP-121</t>
        </is>
      </c>
      <c r="I49" s="16" t="inlineStr">
        <is>
          <t>Zona natural con 1 fichas; 1 clasificadas S/A.</t>
        </is>
      </c>
    </row>
    <row r="50" ht="44" customHeight="1">
      <c r="A50" s="16" t="inlineStr">
        <is>
          <t>CL-49</t>
        </is>
      </c>
      <c r="B50" s="16" t="inlineStr">
        <is>
          <t>Osaka</t>
        </is>
      </c>
      <c r="C50" s="16" t="inlineStr">
        <is>
          <t>North Osaka</t>
        </is>
      </c>
      <c r="D50" s="16" t="n">
        <v>2</v>
      </c>
      <c r="E50" s="16" t="n">
        <v>2</v>
      </c>
      <c r="F50" s="16" t="n">
        <v>34.8358</v>
      </c>
      <c r="G50" s="16" t="n">
        <v>135.5099</v>
      </c>
      <c r="H50" s="16" t="inlineStr">
        <is>
          <t>JP-122, JP-123</t>
        </is>
      </c>
      <c r="I50" s="16" t="inlineStr">
        <is>
          <t>Zona natural con 2 fichas; 2 clasificadas S/A.</t>
        </is>
      </c>
    </row>
    <row r="51" ht="44" customHeight="1">
      <c r="A51" s="16" t="inlineStr">
        <is>
          <t>CL-50</t>
        </is>
      </c>
      <c r="B51" s="16" t="inlineStr">
        <is>
          <t>Osaka</t>
        </is>
      </c>
      <c r="C51" s="16" t="inlineStr">
        <is>
          <t>Osaka Bay</t>
        </is>
      </c>
      <c r="D51" s="16" t="n">
        <v>3</v>
      </c>
      <c r="E51" s="16" t="n">
        <v>3</v>
      </c>
      <c r="F51" s="16" t="n">
        <v>34.66253</v>
      </c>
      <c r="G51" s="16" t="n">
        <v>135.43093</v>
      </c>
      <c r="H51" s="16" t="inlineStr">
        <is>
          <t>JP-124, JP-125, JP-126</t>
        </is>
      </c>
      <c r="I51" s="16" t="inlineStr">
        <is>
          <t>Zona natural con 3 fichas; 3 clasificadas S/A.</t>
        </is>
      </c>
    </row>
    <row r="52" ht="44" customHeight="1">
      <c r="A52" s="16" t="inlineStr">
        <is>
          <t>CL-51</t>
        </is>
      </c>
      <c r="B52" s="16" t="inlineStr">
        <is>
          <t>Osaka</t>
        </is>
      </c>
      <c r="C52" s="16" t="inlineStr">
        <is>
          <t>Sakai</t>
        </is>
      </c>
      <c r="D52" s="16" t="n">
        <v>1</v>
      </c>
      <c r="E52" s="16" t="n">
        <v>1</v>
      </c>
      <c r="F52" s="16" t="n">
        <v>34.5733</v>
      </c>
      <c r="G52" s="16" t="n">
        <v>135.4827</v>
      </c>
      <c r="H52" s="16" t="inlineStr">
        <is>
          <t>JP-127</t>
        </is>
      </c>
      <c r="I52" s="16" t="inlineStr">
        <is>
          <t>Zona natural con 1 fichas; 1 clasificadas S/A.</t>
        </is>
      </c>
    </row>
    <row r="53" ht="44" customHeight="1">
      <c r="A53" s="16" t="inlineStr">
        <is>
          <t>CL-52</t>
        </is>
      </c>
      <c r="B53" s="16" t="inlineStr">
        <is>
          <t>Osaka</t>
        </is>
      </c>
      <c r="C53" s="16" t="inlineStr">
        <is>
          <t>South Osaka</t>
        </is>
      </c>
      <c r="D53" s="16" t="n">
        <v>1</v>
      </c>
      <c r="E53" s="16" t="n">
        <v>1</v>
      </c>
      <c r="F53" s="16" t="n">
        <v>34.4584</v>
      </c>
      <c r="G53" s="16" t="n">
        <v>135.3709</v>
      </c>
      <c r="H53" s="16" t="inlineStr">
        <is>
          <t>JP-128</t>
        </is>
      </c>
      <c r="I53" s="16" t="inlineStr">
        <is>
          <t>Zona natural con 1 fichas; 1 clasificadas S/A.</t>
        </is>
      </c>
    </row>
    <row r="54" ht="44" customHeight="1">
      <c r="A54" s="16" t="inlineStr">
        <is>
          <t>CL-53</t>
        </is>
      </c>
      <c r="B54" s="16" t="inlineStr">
        <is>
          <t>Osaka</t>
        </is>
      </c>
      <c r="C54" s="16" t="inlineStr">
        <is>
          <t>Nara</t>
        </is>
      </c>
      <c r="D54" s="16" t="n">
        <v>5</v>
      </c>
      <c r="E54" s="16" t="n">
        <v>4</v>
      </c>
      <c r="F54" s="16" t="n">
        <v>34.68328</v>
      </c>
      <c r="G54" s="16" t="n">
        <v>135.8395</v>
      </c>
      <c r="H54" s="16" t="inlineStr">
        <is>
          <t>JP-129, JP-130, JP-131, JP-132, JP-133</t>
        </is>
      </c>
      <c r="I54" s="16" t="inlineStr">
        <is>
          <t>Zona natural con 5 fichas; 4 clasificadas S/A.</t>
        </is>
      </c>
    </row>
    <row r="55" ht="44" customHeight="1">
      <c r="A55" s="16" t="inlineStr">
        <is>
          <t>CL-54</t>
        </is>
      </c>
      <c r="B55" s="16" t="inlineStr">
        <is>
          <t>Osaka</t>
        </is>
      </c>
      <c r="C55" s="16" t="inlineStr">
        <is>
          <t>West Nara</t>
        </is>
      </c>
      <c r="D55" s="16" t="n">
        <v>1</v>
      </c>
      <c r="E55" s="16" t="n">
        <v>1</v>
      </c>
      <c r="F55" s="16" t="n">
        <v>34.614</v>
      </c>
      <c r="G55" s="16" t="n">
        <v>135.7342</v>
      </c>
      <c r="H55" s="16" t="inlineStr">
        <is>
          <t>JP-134</t>
        </is>
      </c>
      <c r="I55" s="16" t="inlineStr">
        <is>
          <t>Zona natural con 1 fichas; 1 clasificadas S/A.</t>
        </is>
      </c>
    </row>
    <row r="56" ht="44" customHeight="1">
      <c r="A56" s="16" t="inlineStr">
        <is>
          <t>CL-55</t>
        </is>
      </c>
      <c r="B56" s="16" t="inlineStr">
        <is>
          <t>Osaka</t>
        </is>
      </c>
      <c r="C56" s="16" t="inlineStr">
        <is>
          <t>Himeji</t>
        </is>
      </c>
      <c r="D56" s="16" t="n">
        <v>3</v>
      </c>
      <c r="E56" s="16" t="n">
        <v>3</v>
      </c>
      <c r="F56" s="16" t="n">
        <v>34.8556</v>
      </c>
      <c r="G56" s="16" t="n">
        <v>134.6803</v>
      </c>
      <c r="H56" s="16" t="inlineStr">
        <is>
          <t>JP-135, JP-136, JP-137</t>
        </is>
      </c>
      <c r="I56" s="16" t="inlineStr">
        <is>
          <t>Zona natural con 3 fichas; 3 clasificadas S/A.</t>
        </is>
      </c>
    </row>
    <row r="57" ht="44" customHeight="1">
      <c r="A57" s="16" t="inlineStr">
        <is>
          <t>CL-56</t>
        </is>
      </c>
      <c r="B57" s="16" t="inlineStr">
        <is>
          <t>Osaka</t>
        </is>
      </c>
      <c r="C57" s="16" t="inlineStr">
        <is>
          <t>Kobe</t>
        </is>
      </c>
      <c r="D57" s="16" t="n">
        <v>3</v>
      </c>
      <c r="E57" s="16" t="n">
        <v>2</v>
      </c>
      <c r="F57" s="16" t="n">
        <v>34.7215</v>
      </c>
      <c r="G57" s="16" t="n">
        <v>135.2056</v>
      </c>
      <c r="H57" s="16" t="inlineStr">
        <is>
          <t>JP-138, JP-139, JP-140</t>
        </is>
      </c>
      <c r="I57" s="16" t="inlineStr">
        <is>
          <t>Zona natural con 3 fichas; 2 clasificadas S/A.</t>
        </is>
      </c>
    </row>
    <row r="58" ht="44" customHeight="1">
      <c r="A58" s="16" t="inlineStr">
        <is>
          <t>CL-57</t>
        </is>
      </c>
      <c r="B58" s="16" t="inlineStr">
        <is>
          <t>Osaka</t>
        </is>
      </c>
      <c r="C58" s="16" t="inlineStr">
        <is>
          <t>Arima Onsen</t>
        </is>
      </c>
      <c r="D58" s="16" t="n">
        <v>1</v>
      </c>
      <c r="E58" s="16" t="n">
        <v>1</v>
      </c>
      <c r="F58" s="16" t="n">
        <v>34.7977</v>
      </c>
      <c r="G58" s="16" t="n">
        <v>135.2487</v>
      </c>
      <c r="H58" s="16" t="inlineStr">
        <is>
          <t>JP-141</t>
        </is>
      </c>
      <c r="I58" s="16" t="inlineStr">
        <is>
          <t>Zona natural con 1 fichas; 1 clasificadas S/A.</t>
        </is>
      </c>
    </row>
    <row r="59" ht="44" customHeight="1">
      <c r="A59" s="16" t="inlineStr">
        <is>
          <t>CL-58</t>
        </is>
      </c>
      <c r="B59" s="16" t="inlineStr">
        <is>
          <t>Osaka</t>
        </is>
      </c>
      <c r="C59" s="16" t="inlineStr">
        <is>
          <t>Kinosaki Onsen</t>
        </is>
      </c>
      <c r="D59" s="16" t="n">
        <v>1</v>
      </c>
      <c r="E59" s="16" t="n">
        <v>1</v>
      </c>
      <c r="F59" s="16" t="n">
        <v>35.6257</v>
      </c>
      <c r="G59" s="16" t="n">
        <v>134.8112</v>
      </c>
      <c r="H59" s="16" t="inlineStr">
        <is>
          <t>JP-142</t>
        </is>
      </c>
      <c r="I59" s="16" t="inlineStr">
        <is>
          <t>Zona natural con 1 fichas; 1 clasificadas S/A.</t>
        </is>
      </c>
    </row>
    <row r="60" ht="44" customHeight="1">
      <c r="A60" s="16" t="inlineStr">
        <is>
          <t>CL-59</t>
        </is>
      </c>
      <c r="B60" s="16" t="inlineStr">
        <is>
          <t>Osaka</t>
        </is>
      </c>
      <c r="C60" s="16" t="inlineStr">
        <is>
          <t>Koyasan</t>
        </is>
      </c>
      <c r="D60" s="16" t="n">
        <v>2</v>
      </c>
      <c r="E60" s="16" t="n">
        <v>2</v>
      </c>
      <c r="F60" s="16" t="n">
        <v>34.21795</v>
      </c>
      <c r="G60" s="16" t="n">
        <v>135.59595</v>
      </c>
      <c r="H60" s="16" t="inlineStr">
        <is>
          <t>JP-143, JP-144</t>
        </is>
      </c>
      <c r="I60" s="16" t="inlineStr">
        <is>
          <t>Zona natural con 2 fichas; 2 clasificadas S/A.</t>
        </is>
      </c>
    </row>
    <row r="61" ht="44" customHeight="1">
      <c r="A61" s="16" t="inlineStr">
        <is>
          <t>CL-60</t>
        </is>
      </c>
      <c r="B61" s="16" t="inlineStr">
        <is>
          <t>Osaka</t>
        </is>
      </c>
      <c r="C61" s="16" t="inlineStr">
        <is>
          <t>Kumano</t>
        </is>
      </c>
      <c r="D61" s="16" t="n">
        <v>1</v>
      </c>
      <c r="E61" s="16" t="n">
        <v>1</v>
      </c>
      <c r="F61" s="16" t="n">
        <v>33.6684</v>
      </c>
      <c r="G61" s="16" t="n">
        <v>135.89</v>
      </c>
      <c r="H61" s="16" t="inlineStr">
        <is>
          <t>JP-145</t>
        </is>
      </c>
      <c r="I61" s="16" t="inlineStr">
        <is>
          <t>Zona natural con 1 fichas; 1 clasificadas S/A.</t>
        </is>
      </c>
    </row>
    <row r="62" ht="44" customHeight="1">
      <c r="A62" s="16" t="inlineStr">
        <is>
          <t>CL-61</t>
        </is>
      </c>
      <c r="B62" s="16" t="inlineStr">
        <is>
          <t>Osaka</t>
        </is>
      </c>
      <c r="C62" s="16" t="inlineStr">
        <is>
          <t>Wakayama Coast</t>
        </is>
      </c>
      <c r="D62" s="16" t="n">
        <v>1</v>
      </c>
      <c r="E62" s="16" t="n">
        <v>1</v>
      </c>
      <c r="F62" s="16" t="n">
        <v>34.2845</v>
      </c>
      <c r="G62" s="16" t="n">
        <v>135.0268</v>
      </c>
      <c r="H62" s="16" t="inlineStr">
        <is>
          <t>JP-146</t>
        </is>
      </c>
      <c r="I62" s="16" t="inlineStr">
        <is>
          <t>Zona natural con 1 fichas; 1 clasificadas S/A.</t>
        </is>
      </c>
    </row>
    <row r="63" ht="44" customHeight="1">
      <c r="A63" s="16" t="inlineStr">
        <is>
          <t>CL-62</t>
        </is>
      </c>
      <c r="B63" s="16" t="inlineStr">
        <is>
          <t>Osaka</t>
        </is>
      </c>
      <c r="C63" s="16" t="inlineStr">
        <is>
          <t>Lake Biwa</t>
        </is>
      </c>
      <c r="D63" s="16" t="n">
        <v>3</v>
      </c>
      <c r="E63" s="16" t="n">
        <v>3</v>
      </c>
      <c r="F63" s="16" t="n">
        <v>35.0872</v>
      </c>
      <c r="G63" s="16" t="n">
        <v>136.03643</v>
      </c>
      <c r="H63" s="16" t="inlineStr">
        <is>
          <t>JP-147, JP-148, JP-149</t>
        </is>
      </c>
      <c r="I63" s="16" t="inlineStr">
        <is>
          <t>Zona natural con 3 fichas; 3 clasificadas S/A.</t>
        </is>
      </c>
    </row>
    <row r="64" ht="44" customHeight="1">
      <c r="A64" s="16" t="inlineStr">
        <is>
          <t>CL-63</t>
        </is>
      </c>
      <c r="B64" s="16" t="inlineStr">
        <is>
          <t>Osaka</t>
        </is>
      </c>
      <c r="C64" s="16" t="inlineStr">
        <is>
          <t>North Kyoto Prefecture</t>
        </is>
      </c>
      <c r="D64" s="16" t="n">
        <v>2</v>
      </c>
      <c r="E64" s="16" t="n">
        <v>2</v>
      </c>
      <c r="F64" s="16" t="n">
        <v>35.62265</v>
      </c>
      <c r="G64" s="16" t="n">
        <v>135.24015</v>
      </c>
      <c r="H64" s="16" t="inlineStr">
        <is>
          <t>JP-150, JP-151</t>
        </is>
      </c>
      <c r="I64" s="16" t="inlineStr">
        <is>
          <t>Zona natural con 2 fichas; 2 clasificadas S/A.</t>
        </is>
      </c>
    </row>
    <row r="65" ht="44" customHeight="1">
      <c r="A65" s="16" t="inlineStr">
        <is>
          <t>CL-64</t>
        </is>
      </c>
      <c r="B65" s="16" t="inlineStr">
        <is>
          <t>Osaka</t>
        </is>
      </c>
      <c r="C65" s="16" t="inlineStr">
        <is>
          <t>Setouchi</t>
        </is>
      </c>
      <c r="D65" s="16" t="n">
        <v>1</v>
      </c>
      <c r="E65" s="16" t="n">
        <v>1</v>
      </c>
      <c r="F65" s="16" t="n">
        <v>34.4597</v>
      </c>
      <c r="G65" s="16" t="n">
        <v>133.9957</v>
      </c>
      <c r="H65" s="16" t="inlineStr">
        <is>
          <t>JP-152</t>
        </is>
      </c>
      <c r="I65" s="16" t="inlineStr">
        <is>
          <t>Zona natural con 1 fichas; 1 clasificadas S/A.</t>
        </is>
      </c>
    </row>
    <row r="66" ht="44" customHeight="1">
      <c r="A66" s="16" t="inlineStr">
        <is>
          <t>CL-65</t>
        </is>
      </c>
      <c r="B66" s="16" t="inlineStr">
        <is>
          <t>Okinawa</t>
        </is>
      </c>
      <c r="C66" s="16" t="inlineStr">
        <is>
          <t>Naha</t>
        </is>
      </c>
      <c r="D66" s="16" t="n">
        <v>6</v>
      </c>
      <c r="E66" s="16" t="n">
        <v>5</v>
      </c>
      <c r="F66" s="16" t="n">
        <v>26.21492</v>
      </c>
      <c r="G66" s="16" t="n">
        <v>127.69467</v>
      </c>
      <c r="H66" s="16" t="inlineStr">
        <is>
          <t>JP-153, JP-154, JP-155, JP-156, JP-160, JP-161</t>
        </is>
      </c>
      <c r="I66" s="16" t="inlineStr">
        <is>
          <t>Zona natural con 6 fichas; 5 clasificadas S/A.</t>
        </is>
      </c>
    </row>
    <row r="67" ht="44" customHeight="1">
      <c r="A67" s="16" t="inlineStr">
        <is>
          <t>CL-66</t>
        </is>
      </c>
      <c r="B67" s="16" t="inlineStr">
        <is>
          <t>Okinawa</t>
        </is>
      </c>
      <c r="C67" s="16" t="inlineStr">
        <is>
          <t>Shuri</t>
        </is>
      </c>
      <c r="D67" s="16" t="n">
        <v>3</v>
      </c>
      <c r="E67" s="16" t="n">
        <v>3</v>
      </c>
      <c r="F67" s="16" t="n">
        <v>26.21657</v>
      </c>
      <c r="G67" s="16" t="n">
        <v>127.71797</v>
      </c>
      <c r="H67" s="16" t="inlineStr">
        <is>
          <t>JP-157, JP-158, JP-159</t>
        </is>
      </c>
      <c r="I67" s="16" t="inlineStr">
        <is>
          <t>Zona natural con 3 fichas; 3 clasificadas S/A.</t>
        </is>
      </c>
    </row>
    <row r="68" ht="44" customHeight="1">
      <c r="A68" s="16" t="inlineStr">
        <is>
          <t>CL-67</t>
        </is>
      </c>
      <c r="B68" s="16" t="inlineStr">
        <is>
          <t>Okinawa</t>
        </is>
      </c>
      <c r="C68" s="16" t="inlineStr">
        <is>
          <t>South Okinawa</t>
        </is>
      </c>
      <c r="D68" s="16" t="n">
        <v>3</v>
      </c>
      <c r="E68" s="16" t="n">
        <v>3</v>
      </c>
      <c r="F68" s="16" t="n">
        <v>26.16037</v>
      </c>
      <c r="G68" s="16" t="n">
        <v>127.80017</v>
      </c>
      <c r="H68" s="16" t="inlineStr">
        <is>
          <t>JP-162, JP-163, JP-164</t>
        </is>
      </c>
      <c r="I68" s="16" t="inlineStr">
        <is>
          <t>Zona natural con 3 fichas; 3 clasificadas S/A.</t>
        </is>
      </c>
    </row>
    <row r="69" ht="44" customHeight="1">
      <c r="A69" s="16" t="inlineStr">
        <is>
          <t>CL-68</t>
        </is>
      </c>
      <c r="B69" s="16" t="inlineStr">
        <is>
          <t>Okinawa</t>
        </is>
      </c>
      <c r="C69" s="16" t="inlineStr">
        <is>
          <t>Kudaka Island</t>
        </is>
      </c>
      <c r="D69" s="16" t="n">
        <v>1</v>
      </c>
      <c r="E69" s="16" t="n">
        <v>1</v>
      </c>
      <c r="F69" s="16" t="n">
        <v>26.1587</v>
      </c>
      <c r="G69" s="16" t="n">
        <v>127.8852</v>
      </c>
      <c r="H69" s="16" t="inlineStr">
        <is>
          <t>JP-165</t>
        </is>
      </c>
      <c r="I69" s="16" t="inlineStr">
        <is>
          <t>Zona natural con 1 fichas; 1 clasificadas S/A.</t>
        </is>
      </c>
    </row>
    <row r="70" ht="44" customHeight="1">
      <c r="A70" s="16" t="inlineStr">
        <is>
          <t>CL-69</t>
        </is>
      </c>
      <c r="B70" s="16" t="inlineStr">
        <is>
          <t>Okinawa</t>
        </is>
      </c>
      <c r="C70" s="16" t="inlineStr">
        <is>
          <t>Central Okinawa</t>
        </is>
      </c>
      <c r="D70" s="16" t="n">
        <v>5</v>
      </c>
      <c r="E70" s="16" t="n">
        <v>4</v>
      </c>
      <c r="F70" s="16" t="n">
        <v>26.35784</v>
      </c>
      <c r="G70" s="16" t="n">
        <v>127.78642</v>
      </c>
      <c r="H70" s="16" t="inlineStr">
        <is>
          <t>JP-166, JP-167, JP-168, JP-169, JP-170</t>
        </is>
      </c>
      <c r="I70" s="16" t="inlineStr">
        <is>
          <t>Zona natural con 5 fichas; 4 clasificadas S/A.</t>
        </is>
      </c>
    </row>
    <row r="71" ht="44" customHeight="1">
      <c r="A71" s="16" t="inlineStr">
        <is>
          <t>CL-70</t>
        </is>
      </c>
      <c r="B71" s="16" t="inlineStr">
        <is>
          <t>Okinawa</t>
        </is>
      </c>
      <c r="C71" s="16" t="inlineStr">
        <is>
          <t>Onna Coast</t>
        </is>
      </c>
      <c r="D71" s="16" t="n">
        <v>2</v>
      </c>
      <c r="E71" s="16" t="n">
        <v>1</v>
      </c>
      <c r="F71" s="16" t="n">
        <v>26.4745</v>
      </c>
      <c r="G71" s="16" t="n">
        <v>127.8109</v>
      </c>
      <c r="H71" s="16" t="inlineStr">
        <is>
          <t>JP-171, JP-172</t>
        </is>
      </c>
      <c r="I71" s="16" t="inlineStr">
        <is>
          <t>Zona natural con 2 fichas; 1 clasificadas S/A.</t>
        </is>
      </c>
    </row>
    <row r="72" ht="44" customHeight="1">
      <c r="A72" s="16" t="inlineStr">
        <is>
          <t>CL-71</t>
        </is>
      </c>
      <c r="B72" s="16" t="inlineStr">
        <is>
          <t>Okinawa</t>
        </is>
      </c>
      <c r="C72" s="16" t="inlineStr">
        <is>
          <t>Motobu</t>
        </is>
      </c>
      <c r="D72" s="16" t="n">
        <v>6</v>
      </c>
      <c r="E72" s="16" t="n">
        <v>4</v>
      </c>
      <c r="F72" s="16" t="n">
        <v>26.69178</v>
      </c>
      <c r="G72" s="16" t="n">
        <v>127.94918</v>
      </c>
      <c r="H72" s="16" t="inlineStr">
        <is>
          <t>JP-173, JP-174, JP-175, JP-176, JP-177, JP-178</t>
        </is>
      </c>
      <c r="I72" s="16" t="inlineStr">
        <is>
          <t>Zona natural con 6 fichas; 4 clasificadas S/A.</t>
        </is>
      </c>
    </row>
    <row r="73" ht="44" customHeight="1">
      <c r="A73" s="16" t="inlineStr">
        <is>
          <t>CL-72</t>
        </is>
      </c>
      <c r="B73" s="16" t="inlineStr">
        <is>
          <t>Okinawa</t>
        </is>
      </c>
      <c r="C73" s="16" t="inlineStr">
        <is>
          <t>Yanbaru</t>
        </is>
      </c>
      <c r="D73" s="16" t="n">
        <v>5</v>
      </c>
      <c r="E73" s="16" t="n">
        <v>5</v>
      </c>
      <c r="F73" s="16" t="n">
        <v>26.76408</v>
      </c>
      <c r="G73" s="16" t="n">
        <v>128.216</v>
      </c>
      <c r="H73" s="16" t="inlineStr">
        <is>
          <t>JP-179, JP-180, JP-181, JP-182, JP-183</t>
        </is>
      </c>
      <c r="I73" s="16" t="inlineStr">
        <is>
          <t>Zona natural con 5 fichas; 5 clasificadas S/A.</t>
        </is>
      </c>
    </row>
    <row r="74" ht="44" customHeight="1">
      <c r="A74" s="16" t="inlineStr">
        <is>
          <t>CL-73</t>
        </is>
      </c>
      <c r="B74" s="16" t="inlineStr">
        <is>
          <t>Okinawa</t>
        </is>
      </c>
      <c r="C74" s="16" t="inlineStr">
        <is>
          <t>Kerama</t>
        </is>
      </c>
      <c r="D74" s="16" t="n">
        <v>4</v>
      </c>
      <c r="E74" s="16" t="n">
        <v>4</v>
      </c>
      <c r="F74" s="16" t="n">
        <v>26.20545</v>
      </c>
      <c r="G74" s="16" t="n">
        <v>127.30725</v>
      </c>
      <c r="H74" s="16" t="inlineStr">
        <is>
          <t>JP-184, JP-185, JP-186, JP-187</t>
        </is>
      </c>
      <c r="I74" s="16" t="inlineStr">
        <is>
          <t>Zona natural con 4 fichas; 4 clasificadas S/A.</t>
        </is>
      </c>
    </row>
    <row r="75" ht="44" customHeight="1">
      <c r="A75" s="16" t="inlineStr">
        <is>
          <t>CL-74</t>
        </is>
      </c>
      <c r="B75" s="16" t="inlineStr">
        <is>
          <t>Okinawa</t>
        </is>
      </c>
      <c r="C75" s="16" t="inlineStr">
        <is>
          <t>Miyako Islands</t>
        </is>
      </c>
      <c r="D75" s="16" t="n">
        <v>4</v>
      </c>
      <c r="E75" s="16" t="n">
        <v>4</v>
      </c>
      <c r="F75" s="16" t="n">
        <v>24.83113</v>
      </c>
      <c r="G75" s="16" t="n">
        <v>125.22608</v>
      </c>
      <c r="H75" s="16" t="inlineStr">
        <is>
          <t>JP-188, JP-189, JP-190, JP-191</t>
        </is>
      </c>
      <c r="I75" s="16" t="inlineStr">
        <is>
          <t>Zona natural con 4 fichas; 4 clasificadas S/A.</t>
        </is>
      </c>
    </row>
    <row r="76" ht="44" customHeight="1">
      <c r="A76" s="16" t="inlineStr">
        <is>
          <t>CL-75</t>
        </is>
      </c>
      <c r="B76" s="16" t="inlineStr">
        <is>
          <t>Okinawa</t>
        </is>
      </c>
      <c r="C76" s="16" t="inlineStr">
        <is>
          <t>Yaeyama</t>
        </is>
      </c>
      <c r="D76" s="16" t="n">
        <v>9</v>
      </c>
      <c r="E76" s="16" t="n">
        <v>9</v>
      </c>
      <c r="F76" s="16" t="n">
        <v>24.36463</v>
      </c>
      <c r="G76" s="16" t="n">
        <v>123.90903</v>
      </c>
      <c r="H76" s="16" t="inlineStr">
        <is>
          <t>JP-192, JP-193, JP-194, JP-195, JP-196, JP-197, JP-198, JP-199, JP-200</t>
        </is>
      </c>
      <c r="I76" s="16" t="inlineStr">
        <is>
          <t>Zona natural con 9 fichas; 9 clasificadas S/A.</t>
        </is>
      </c>
    </row>
    <row r="77" ht="44" customHeight="1">
      <c r="A77" s="16" t="inlineStr">
        <is>
          <t>CL-76</t>
        </is>
      </c>
      <c r="B77" s="16" t="inlineStr">
        <is>
          <t>Okinawa</t>
        </is>
      </c>
      <c r="C77" s="16" t="inlineStr">
        <is>
          <t>Kume Island</t>
        </is>
      </c>
      <c r="D77" s="16" t="n">
        <v>1</v>
      </c>
      <c r="E77" s="16" t="n">
        <v>1</v>
      </c>
      <c r="F77" s="16" t="n">
        <v>26.3495</v>
      </c>
      <c r="G77" s="16" t="n">
        <v>126.925</v>
      </c>
      <c r="H77" s="16" t="inlineStr">
        <is>
          <t>JP-201</t>
        </is>
      </c>
      <c r="I77" s="16" t="inlineStr">
        <is>
          <t>Zona natural con 1 fichas; 1 clasificadas S/A.</t>
        </is>
      </c>
    </row>
    <row r="78" ht="44" customHeight="1">
      <c r="A78" s="16" t="inlineStr">
        <is>
          <t>CL-77</t>
        </is>
      </c>
      <c r="B78" s="16" t="inlineStr">
        <is>
          <t>Okinawa</t>
        </is>
      </c>
      <c r="C78" s="16" t="inlineStr">
        <is>
          <t>Naha–Kerama</t>
        </is>
      </c>
      <c r="D78" s="16" t="n">
        <v>1</v>
      </c>
      <c r="E78" s="16" t="n">
        <v>1</v>
      </c>
      <c r="F78" s="16" t="n">
        <v>26.2292</v>
      </c>
      <c r="G78" s="16" t="n">
        <v>127.679</v>
      </c>
      <c r="H78" s="16" t="inlineStr">
        <is>
          <t>JP-202</t>
        </is>
      </c>
      <c r="I78" s="16" t="inlineStr">
        <is>
          <t>Zona natural con 1 fichas; 1 clasificadas S/A.</t>
        </is>
      </c>
    </row>
    <row r="79">
      <c r="A79" t="inlineStr">
        <is>
          <t>CL-78</t>
        </is>
      </c>
      <c r="B79" t="inlineStr">
        <is>
          <t>Tokio</t>
        </is>
      </c>
      <c r="C79" t="inlineStr">
        <is>
          <t>Tokyo Disney Resort</t>
        </is>
      </c>
      <c r="D79" t="n">
        <v>2</v>
      </c>
      <c r="E79" t="n">
        <v>2</v>
      </c>
      <c r="F79" t="n">
        <v>35.6298</v>
      </c>
      <c r="G79" t="n">
        <v>139.8828</v>
      </c>
      <c r="H79" t="inlineStr">
        <is>
          <t>JP-203, JP-204</t>
        </is>
      </c>
      <c r="I79" t="inlineStr">
        <is>
          <t>Dos parques distintos; comparar temática clásica frente a concepto marítimo.</t>
        </is>
      </c>
    </row>
    <row r="80">
      <c r="A80" t="inlineStr">
        <is>
          <t>CL-79</t>
        </is>
      </c>
      <c r="B80" t="inlineStr">
        <is>
          <t>Sapporo</t>
        </is>
      </c>
      <c r="C80" t="inlineStr">
        <is>
          <t>Sapporo–Odori</t>
        </is>
      </c>
      <c r="D80" t="n">
        <v>1</v>
      </c>
      <c r="E80" t="n">
        <v>1</v>
      </c>
      <c r="F80" t="n">
        <v>43.0605</v>
      </c>
      <c r="G80" t="n">
        <v>141.3545</v>
      </c>
      <c r="H80" t="inlineStr">
        <is>
          <t>JP-205</t>
        </is>
      </c>
      <c r="I80" t="inlineStr">
        <is>
          <t>Festival urbano estacional; fechas 2027 pendientes.</t>
        </is>
      </c>
    </row>
    <row r="81">
      <c r="A81" t="inlineStr">
        <is>
          <t>CL-80</t>
        </is>
      </c>
      <c r="B81" t="inlineStr">
        <is>
          <t>Sapporo</t>
        </is>
      </c>
      <c r="C81" t="inlineStr">
        <is>
          <t>Otaru Canal</t>
        </is>
      </c>
      <c r="D81" t="n">
        <v>1</v>
      </c>
      <c r="E81" t="n">
        <v>1</v>
      </c>
      <c r="F81" t="n">
        <v>43.1986</v>
      </c>
      <c r="G81" t="n">
        <v>140.9947</v>
      </c>
      <c r="H81" t="inlineStr">
        <is>
          <t>JP-206</t>
        </is>
      </c>
      <c r="I81" t="inlineStr">
        <is>
          <t>Evento nocturno estacional en Otaru.</t>
        </is>
      </c>
    </row>
    <row r="82">
      <c r="A82" t="inlineStr">
        <is>
          <t>CL-81</t>
        </is>
      </c>
      <c r="B82" t="inlineStr">
        <is>
          <t>Sapporo</t>
        </is>
      </c>
      <c r="C82" t="inlineStr">
        <is>
          <t>Lake Shikotsu</t>
        </is>
      </c>
      <c r="D82" t="n">
        <v>1</v>
      </c>
      <c r="E82" t="n">
        <v>1</v>
      </c>
      <c r="F82" t="n">
        <v>42.7724</v>
      </c>
      <c r="G82" t="n">
        <v>141.4036</v>
      </c>
      <c r="H82" t="inlineStr">
        <is>
          <t>JP-207</t>
        </is>
      </c>
      <c r="I82" t="inlineStr">
        <is>
          <t>Festival de hielo con transporte sensible al clima.</t>
        </is>
      </c>
    </row>
    <row r="83">
      <c r="A83" t="inlineStr">
        <is>
          <t>CL-82</t>
        </is>
      </c>
      <c r="B83" t="inlineStr">
        <is>
          <t>Tokio</t>
        </is>
      </c>
      <c r="C83" t="inlineStr">
        <is>
          <t>Kawazu</t>
        </is>
      </c>
      <c r="D83" t="n">
        <v>1</v>
      </c>
      <c r="E83" t="n">
        <v>1</v>
      </c>
      <c r="F83" t="n">
        <v>34.757</v>
      </c>
      <c r="G83" t="n">
        <v>138.9959</v>
      </c>
      <c r="H83" t="inlineStr">
        <is>
          <t>JP-208</t>
        </is>
      </c>
      <c r="I83" t="inlineStr">
        <is>
          <t>Floración temprana; fechas y pico 2027 pendientes.</t>
        </is>
      </c>
    </row>
    <row r="84">
      <c r="A84" t="inlineStr">
        <is>
          <t>CL-83</t>
        </is>
      </c>
      <c r="B84" t="inlineStr">
        <is>
          <t>Osaka</t>
        </is>
      </c>
      <c r="C84" t="inlineStr">
        <is>
          <t>Okunoshima</t>
        </is>
      </c>
      <c r="D84" t="n">
        <v>1</v>
      </c>
      <c r="E84" t="n">
        <v>0</v>
      </c>
      <c r="F84" t="n">
        <v>34.3104</v>
      </c>
      <c r="G84" t="n">
        <v>132.9936</v>
      </c>
      <c r="H84" t="inlineStr">
        <is>
          <t>JP-209</t>
        </is>
      </c>
      <c r="I84" t="inlineStr">
        <is>
          <t>Isla con naturaleza e historia; verificar ferry.</t>
        </is>
      </c>
    </row>
    <row r="85">
      <c r="A85" t="inlineStr">
        <is>
          <t>CL-84</t>
        </is>
      </c>
      <c r="B85" t="inlineStr">
        <is>
          <t>Nagoya</t>
        </is>
      </c>
      <c r="C85" t="inlineStr">
        <is>
          <t>Takayama</t>
        </is>
      </c>
      <c r="D85" t="n">
        <v>1</v>
      </c>
      <c r="E85" t="n">
        <v>1</v>
      </c>
      <c r="F85" t="n">
        <v>36.1426</v>
      </c>
      <c r="G85" t="n">
        <v>137.2604</v>
      </c>
      <c r="H85" t="inlineStr">
        <is>
          <t>JP-210</t>
        </is>
      </c>
      <c r="I85" t="inlineStr">
        <is>
          <t>Centro histórico conocido; no hidden gem real.</t>
        </is>
      </c>
    </row>
    <row r="86">
      <c r="A86" t="inlineStr">
        <is>
          <t>CL-85</t>
        </is>
      </c>
      <c r="B86" t="inlineStr">
        <is>
          <t>Osaka</t>
        </is>
      </c>
      <c r="C86" t="inlineStr">
        <is>
          <t>INTEX Osaka</t>
        </is>
      </c>
      <c r="D86" t="n">
        <v>1</v>
      </c>
      <c r="E86" t="n">
        <v>1</v>
      </c>
      <c r="F86" t="n">
        <v>34.638</v>
      </c>
      <c r="G86" t="n">
        <v>135.4168</v>
      </c>
      <c r="H86" t="inlineStr">
        <is>
          <t>JP-211</t>
        </is>
      </c>
      <c r="I86" t="inlineStr">
        <is>
          <t>AnimeJapan 2027 confirmado en Osaka.</t>
        </is>
      </c>
    </row>
    <row r="87">
      <c r="A87" t="inlineStr">
        <is>
          <t>CL-86</t>
        </is>
      </c>
      <c r="B87" t="inlineStr">
        <is>
          <t>Osaka</t>
        </is>
      </c>
      <c r="C87" t="inlineStr">
        <is>
          <t>Namba Arena</t>
        </is>
      </c>
      <c r="D87" t="n">
        <v>1</v>
      </c>
      <c r="E87" t="n">
        <v>1</v>
      </c>
      <c r="F87" t="n">
        <v>34.662</v>
      </c>
      <c r="G87" t="n">
        <v>135.4996</v>
      </c>
      <c r="H87" t="inlineStr">
        <is>
          <t>JP-212</t>
        </is>
      </c>
      <c r="I87" t="inlineStr">
        <is>
          <t>Torneo de sumo de marzo 2027.</t>
        </is>
      </c>
    </row>
    <row r="88">
      <c r="A88" t="inlineStr">
        <is>
          <t>CL-87</t>
        </is>
      </c>
      <c r="B88" t="inlineStr">
        <is>
          <t>Tokio</t>
        </is>
      </c>
      <c r="C88" t="inlineStr">
        <is>
          <t>Tokyo Marathon</t>
        </is>
      </c>
      <c r="D88" t="n">
        <v>1</v>
      </c>
      <c r="E88" t="n">
        <v>0</v>
      </c>
      <c r="F88" t="n">
        <v>35.6896</v>
      </c>
      <c r="G88" t="n">
        <v>139.6917</v>
      </c>
      <c r="H88" t="inlineStr">
        <is>
          <t>JP-213</t>
        </is>
      </c>
      <c r="I88" t="inlineStr">
        <is>
          <t>Evento y afectación logística el 7 mar 2027.</t>
        </is>
      </c>
    </row>
    <row r="89">
      <c r="A89" t="inlineStr">
        <is>
          <t>CL-88</t>
        </is>
      </c>
      <c r="B89" t="inlineStr">
        <is>
          <t>Fukuoka</t>
        </is>
      </c>
      <c r="C89" t="inlineStr">
        <is>
          <t>Yanagawa</t>
        </is>
      </c>
      <c r="D89" t="n">
        <v>1</v>
      </c>
      <c r="E89" t="n">
        <v>0</v>
      </c>
      <c r="F89" t="n">
        <v>33.163</v>
      </c>
      <c r="G89" t="n">
        <v>130.4056</v>
      </c>
      <c r="H89" t="inlineStr">
        <is>
          <t>JP-214</t>
        </is>
      </c>
      <c r="I89" t="inlineStr">
        <is>
          <t>Paseo fluvial desde Fukuoka; operación variable.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4"/>
  <sheetViews>
    <sheetView showGridLines="0" workbookViewId="0">
      <selection activeCell="A1" sqref="A1"/>
    </sheetView>
  </sheetViews>
  <sheetFormatPr baseColWidth="8" defaultRowHeight="15"/>
  <cols>
    <col width="8.439999580383301" customWidth="1" min="1" max="1"/>
    <col width="8" customWidth="1" min="2" max="2"/>
    <col width="26" customWidth="1" min="3" max="3"/>
    <col width="26" customWidth="1" min="4" max="4"/>
    <col width="11" customWidth="1" min="5" max="5"/>
    <col width="9.439999580383301" customWidth="1" min="6" max="6"/>
    <col width="10.10999965667725" customWidth="1" min="7" max="7"/>
    <col width="8.779999732971191" customWidth="1" min="8" max="8"/>
    <col width="30" customWidth="1" min="9" max="9"/>
  </cols>
  <sheetData>
    <row r="1" ht="30" customHeight="1">
      <c r="A1" s="15" t="inlineStr">
        <is>
          <t>Desde ID</t>
        </is>
      </c>
      <c r="B1" s="15" t="inlineStr">
        <is>
          <t>Hacia ID</t>
        </is>
      </c>
      <c r="C1" s="15" t="inlineStr">
        <is>
          <t>Desde</t>
        </is>
      </c>
      <c r="D1" s="15" t="inlineStr">
        <is>
          <t>Hacia</t>
        </is>
      </c>
      <c r="E1" s="15" t="inlineStr">
        <is>
          <t>Distancia km</t>
        </is>
      </c>
      <c r="F1" s="15" t="inlineStr">
        <is>
          <t>Min aprox.</t>
        </is>
      </c>
      <c r="G1" s="15" t="inlineStr">
        <is>
          <t>Modo</t>
        </is>
      </c>
      <c r="H1" s="15" t="inlineStr">
        <is>
          <t>Relación</t>
        </is>
      </c>
      <c r="I1" s="15" t="inlineStr">
        <is>
          <t>Nota</t>
        </is>
      </c>
    </row>
    <row r="2" ht="44" customHeight="1">
      <c r="A2" s="16" t="inlineStr">
        <is>
          <t>JP-001</t>
        </is>
      </c>
      <c r="B2" s="16" t="inlineStr">
        <is>
          <t>JP-002</t>
        </is>
      </c>
      <c r="C2" s="16" t="inlineStr">
        <is>
          <t>Shibuya Crossing</t>
        </is>
      </c>
      <c r="D2" s="16" t="inlineStr">
        <is>
          <t>SHIBUYA SKY</t>
        </is>
      </c>
      <c r="E2" s="93" t="n">
        <v>0.19</v>
      </c>
      <c r="F2" s="16" t="n">
        <v>3</v>
      </c>
      <c r="G2" s="16" t="inlineStr">
        <is>
          <t>A pie</t>
        </is>
      </c>
      <c r="H2" s="16" t="inlineStr">
        <is>
          <t>Mismo cluster</t>
        </is>
      </c>
      <c r="I2" s="16" t="inlineStr">
        <is>
          <t>Estimación geográfica; validar ruta real</t>
        </is>
      </c>
    </row>
    <row r="3" ht="44" customHeight="1">
      <c r="A3" s="16" t="inlineStr">
        <is>
          <t>JP-001</t>
        </is>
      </c>
      <c r="B3" s="16" t="inlineStr">
        <is>
          <t>JP-008</t>
        </is>
      </c>
      <c r="C3" s="16" t="inlineStr">
        <is>
          <t>Shibuya Crossing</t>
        </is>
      </c>
      <c r="D3" s="16" t="inlineStr">
        <is>
          <t>Shibuya PARCO + Nintendo TOKYO</t>
        </is>
      </c>
      <c r="E3" s="93" t="n">
        <v>0.32</v>
      </c>
      <c r="F3" s="16" t="n">
        <v>4</v>
      </c>
      <c r="G3" s="16" t="inlineStr">
        <is>
          <t>A pie</t>
        </is>
      </c>
      <c r="H3" s="16" t="inlineStr">
        <is>
          <t>Mismo cluster</t>
        </is>
      </c>
      <c r="I3" s="16" t="inlineStr">
        <is>
          <t>Estimación geográfica; validar ruta real</t>
        </is>
      </c>
    </row>
    <row r="4" ht="44" customHeight="1">
      <c r="A4" s="16" t="inlineStr">
        <is>
          <t>JP-001</t>
        </is>
      </c>
      <c r="B4" s="16" t="inlineStr">
        <is>
          <t>JP-005</t>
        </is>
      </c>
      <c r="C4" s="16" t="inlineStr">
        <is>
          <t>Shibuya Crossing</t>
        </is>
      </c>
      <c r="D4" s="16" t="inlineStr">
        <is>
          <t>Cat Street</t>
        </is>
      </c>
      <c r="E4" s="93" t="n">
        <v>0.98</v>
      </c>
      <c r="F4" s="16" t="n">
        <v>14</v>
      </c>
      <c r="G4" s="16" t="inlineStr">
        <is>
          <t>A pie</t>
        </is>
      </c>
      <c r="H4" s="16" t="inlineStr">
        <is>
          <t>Cercano</t>
        </is>
      </c>
      <c r="I4" s="16" t="inlineStr">
        <is>
          <t>Estimación geográfica; validar ruta real</t>
        </is>
      </c>
    </row>
    <row r="5" ht="44" customHeight="1">
      <c r="A5" s="16" t="inlineStr">
        <is>
          <t>JP-002</t>
        </is>
      </c>
      <c r="B5" s="16" t="inlineStr">
        <is>
          <t>JP-001</t>
        </is>
      </c>
      <c r="C5" s="16" t="inlineStr">
        <is>
          <t>SHIBUYA SKY</t>
        </is>
      </c>
      <c r="D5" s="16" t="inlineStr">
        <is>
          <t>Shibuya Crossing</t>
        </is>
      </c>
      <c r="E5" s="93" t="n">
        <v>0.19</v>
      </c>
      <c r="F5" s="16" t="n">
        <v>3</v>
      </c>
      <c r="G5" s="16" t="inlineStr">
        <is>
          <t>A pie</t>
        </is>
      </c>
      <c r="H5" s="16" t="inlineStr">
        <is>
          <t>Mismo cluster</t>
        </is>
      </c>
      <c r="I5" s="16" t="inlineStr">
        <is>
          <t>Estimación geográfica; validar ruta real</t>
        </is>
      </c>
    </row>
    <row r="6" ht="44" customHeight="1">
      <c r="A6" s="16" t="inlineStr">
        <is>
          <t>JP-002</t>
        </is>
      </c>
      <c r="B6" s="16" t="inlineStr">
        <is>
          <t>JP-008</t>
        </is>
      </c>
      <c r="C6" s="16" t="inlineStr">
        <is>
          <t>SHIBUYA SKY</t>
        </is>
      </c>
      <c r="D6" s="16" t="inlineStr">
        <is>
          <t>Shibuya PARCO + Nintendo TOKYO</t>
        </is>
      </c>
      <c r="E6" s="93" t="n">
        <v>0.5</v>
      </c>
      <c r="F6" s="16" t="n">
        <v>7</v>
      </c>
      <c r="G6" s="16" t="inlineStr">
        <is>
          <t>A pie</t>
        </is>
      </c>
      <c r="H6" s="16" t="inlineStr">
        <is>
          <t>Mismo cluster</t>
        </is>
      </c>
      <c r="I6" s="16" t="inlineStr">
        <is>
          <t>Estimación geográfica; validar ruta real</t>
        </is>
      </c>
    </row>
    <row r="7" ht="44" customHeight="1">
      <c r="A7" s="16" t="inlineStr">
        <is>
          <t>JP-002</t>
        </is>
      </c>
      <c r="B7" s="16" t="inlineStr">
        <is>
          <t>JP-005</t>
        </is>
      </c>
      <c r="C7" s="16" t="inlineStr">
        <is>
          <t>SHIBUYA SKY</t>
        </is>
      </c>
      <c r="D7" s="16" t="inlineStr">
        <is>
          <t>Cat Street</t>
        </is>
      </c>
      <c r="E7" s="93" t="n">
        <v>0.95</v>
      </c>
      <c r="F7" s="16" t="n">
        <v>13</v>
      </c>
      <c r="G7" s="16" t="inlineStr">
        <is>
          <t>A pie</t>
        </is>
      </c>
      <c r="H7" s="16" t="inlineStr">
        <is>
          <t>Cercano</t>
        </is>
      </c>
      <c r="I7" s="16" t="inlineStr">
        <is>
          <t>Estimación geográfica; validar ruta real</t>
        </is>
      </c>
    </row>
    <row r="8" ht="44" customHeight="1">
      <c r="A8" s="16" t="inlineStr">
        <is>
          <t>JP-003</t>
        </is>
      </c>
      <c r="B8" s="16" t="inlineStr">
        <is>
          <t>JP-004</t>
        </is>
      </c>
      <c r="C8" s="16" t="inlineStr">
        <is>
          <t>Meiji Jingu</t>
        </is>
      </c>
      <c r="D8" s="16" t="inlineStr">
        <is>
          <t>Takeshita Street</t>
        </is>
      </c>
      <c r="E8" s="93" t="n">
        <v>0.64</v>
      </c>
      <c r="F8" s="16" t="n">
        <v>9</v>
      </c>
      <c r="G8" s="16" t="inlineStr">
        <is>
          <t>A pie</t>
        </is>
      </c>
      <c r="H8" s="16" t="inlineStr">
        <is>
          <t>Mismo cluster</t>
        </is>
      </c>
      <c r="I8" s="16" t="inlineStr">
        <is>
          <t>Estimación geográfica; validar ruta real</t>
        </is>
      </c>
    </row>
    <row r="9" ht="44" customHeight="1">
      <c r="A9" s="16" t="inlineStr">
        <is>
          <t>JP-003</t>
        </is>
      </c>
      <c r="B9" s="16" t="inlineStr">
        <is>
          <t>JP-007</t>
        </is>
      </c>
      <c r="C9" s="16" t="inlineStr">
        <is>
          <t>Meiji Jingu</t>
        </is>
      </c>
      <c r="D9" s="16" t="inlineStr">
        <is>
          <t>Ota Memorial Museum of Art</t>
        </is>
      </c>
      <c r="E9" s="93" t="n">
        <v>0.83</v>
      </c>
      <c r="F9" s="16" t="n">
        <v>12</v>
      </c>
      <c r="G9" s="16" t="inlineStr">
        <is>
          <t>A pie</t>
        </is>
      </c>
      <c r="H9" s="16" t="inlineStr">
        <is>
          <t>Mismo cluster</t>
        </is>
      </c>
      <c r="I9" s="16" t="inlineStr">
        <is>
          <t>Estimación geográfica; validar ruta real</t>
        </is>
      </c>
    </row>
    <row r="10" ht="44" customHeight="1">
      <c r="A10" s="16" t="inlineStr">
        <is>
          <t>JP-003</t>
        </is>
      </c>
      <c r="B10" s="16" t="inlineStr">
        <is>
          <t>JP-010</t>
        </is>
      </c>
      <c r="C10" s="16" t="inlineStr">
        <is>
          <t>Meiji Jingu</t>
        </is>
      </c>
      <c r="D10" s="16" t="inlineStr">
        <is>
          <t>Shinjuku Gyoen National Garden</t>
        </is>
      </c>
      <c r="E10" s="93" t="n">
        <v>1.38</v>
      </c>
      <c r="F10" s="16" t="n">
        <v>19</v>
      </c>
      <c r="G10" s="16" t="inlineStr">
        <is>
          <t>A pie</t>
        </is>
      </c>
      <c r="H10" s="16" t="inlineStr">
        <is>
          <t>Cercano</t>
        </is>
      </c>
      <c r="I10" s="16" t="inlineStr">
        <is>
          <t>Estimación geográfica; validar ruta real</t>
        </is>
      </c>
    </row>
    <row r="11" ht="44" customHeight="1">
      <c r="A11" s="16" t="inlineStr">
        <is>
          <t>JP-004</t>
        </is>
      </c>
      <c r="B11" s="16" t="inlineStr">
        <is>
          <t>JP-007</t>
        </is>
      </c>
      <c r="C11" s="16" t="inlineStr">
        <is>
          <t>Takeshita Street</t>
        </is>
      </c>
      <c r="D11" s="16" t="inlineStr">
        <is>
          <t>Ota Memorial Museum of Art</t>
        </is>
      </c>
      <c r="E11" s="93" t="n">
        <v>0.23</v>
      </c>
      <c r="F11" s="16" t="n">
        <v>3</v>
      </c>
      <c r="G11" s="16" t="inlineStr">
        <is>
          <t>A pie</t>
        </is>
      </c>
      <c r="H11" s="16" t="inlineStr">
        <is>
          <t>Mismo cluster</t>
        </is>
      </c>
      <c r="I11" s="16" t="inlineStr">
        <is>
          <t>Estimación geográfica; validar ruta real</t>
        </is>
      </c>
    </row>
    <row r="12" ht="44" customHeight="1">
      <c r="A12" s="16" t="inlineStr">
        <is>
          <t>JP-004</t>
        </is>
      </c>
      <c r="B12" s="16" t="inlineStr">
        <is>
          <t>JP-003</t>
        </is>
      </c>
      <c r="C12" s="16" t="inlineStr">
        <is>
          <t>Takeshita Street</t>
        </is>
      </c>
      <c r="D12" s="16" t="inlineStr">
        <is>
          <t>Meiji Jingu</t>
        </is>
      </c>
      <c r="E12" s="93" t="n">
        <v>0.64</v>
      </c>
      <c r="F12" s="16" t="n">
        <v>9</v>
      </c>
      <c r="G12" s="16" t="inlineStr">
        <is>
          <t>A pie</t>
        </is>
      </c>
      <c r="H12" s="16" t="inlineStr">
        <is>
          <t>Mismo cluster</t>
        </is>
      </c>
      <c r="I12" s="16" t="inlineStr">
        <is>
          <t>Estimación geográfica; validar ruta real</t>
        </is>
      </c>
    </row>
    <row r="13" ht="44" customHeight="1">
      <c r="A13" s="16" t="inlineStr">
        <is>
          <t>JP-004</t>
        </is>
      </c>
      <c r="B13" s="16" t="inlineStr">
        <is>
          <t>JP-005</t>
        </is>
      </c>
      <c r="C13" s="16" t="inlineStr">
        <is>
          <t>Takeshita Street</t>
        </is>
      </c>
      <c r="D13" s="16" t="inlineStr">
        <is>
          <t>Cat Street</t>
        </is>
      </c>
      <c r="E13" s="93" t="n">
        <v>0.87</v>
      </c>
      <c r="F13" s="16" t="n">
        <v>12</v>
      </c>
      <c r="G13" s="16" t="inlineStr">
        <is>
          <t>A pie</t>
        </is>
      </c>
      <c r="H13" s="16" t="inlineStr">
        <is>
          <t>Mismo cluster</t>
        </is>
      </c>
      <c r="I13" s="16" t="inlineStr">
        <is>
          <t>Estimación geográfica; validar ruta real</t>
        </is>
      </c>
    </row>
    <row r="14" ht="44" customHeight="1">
      <c r="A14" s="16" t="inlineStr">
        <is>
          <t>JP-005</t>
        </is>
      </c>
      <c r="B14" s="16" t="inlineStr">
        <is>
          <t>JP-007</t>
        </is>
      </c>
      <c r="C14" s="16" t="inlineStr">
        <is>
          <t>Cat Street</t>
        </is>
      </c>
      <c r="D14" s="16" t="inlineStr">
        <is>
          <t>Ota Memorial Museum of Art</t>
        </is>
      </c>
      <c r="E14" s="93" t="n">
        <v>0.6899999999999999</v>
      </c>
      <c r="F14" s="16" t="n">
        <v>10</v>
      </c>
      <c r="G14" s="16" t="inlineStr">
        <is>
          <t>A pie</t>
        </is>
      </c>
      <c r="H14" s="16" t="inlineStr">
        <is>
          <t>Mismo cluster</t>
        </is>
      </c>
      <c r="I14" s="16" t="inlineStr">
        <is>
          <t>Estimación geográfica; validar ruta real</t>
        </is>
      </c>
    </row>
    <row r="15" ht="44" customHeight="1">
      <c r="A15" s="16" t="inlineStr">
        <is>
          <t>JP-005</t>
        </is>
      </c>
      <c r="B15" s="16" t="inlineStr">
        <is>
          <t>JP-006</t>
        </is>
      </c>
      <c r="C15" s="16" t="inlineStr">
        <is>
          <t>Cat Street</t>
        </is>
      </c>
      <c r="D15" s="16" t="inlineStr">
        <is>
          <t>Nezu Museum</t>
        </is>
      </c>
      <c r="E15" s="93" t="n">
        <v>0.82</v>
      </c>
      <c r="F15" s="16" t="n">
        <v>11</v>
      </c>
      <c r="G15" s="16" t="inlineStr">
        <is>
          <t>A pie</t>
        </is>
      </c>
      <c r="H15" s="16" t="inlineStr">
        <is>
          <t>Cercano</t>
        </is>
      </c>
      <c r="I15" s="16" t="inlineStr">
        <is>
          <t>Estimación geográfica; validar ruta real</t>
        </is>
      </c>
    </row>
    <row r="16" ht="44" customHeight="1">
      <c r="A16" s="16" t="inlineStr">
        <is>
          <t>JP-005</t>
        </is>
      </c>
      <c r="B16" s="16" t="inlineStr">
        <is>
          <t>JP-004</t>
        </is>
      </c>
      <c r="C16" s="16" t="inlineStr">
        <is>
          <t>Cat Street</t>
        </is>
      </c>
      <c r="D16" s="16" t="inlineStr">
        <is>
          <t>Takeshita Street</t>
        </is>
      </c>
      <c r="E16" s="93" t="n">
        <v>0.87</v>
      </c>
      <c r="F16" s="16" t="n">
        <v>12</v>
      </c>
      <c r="G16" s="16" t="inlineStr">
        <is>
          <t>A pie</t>
        </is>
      </c>
      <c r="H16" s="16" t="inlineStr">
        <is>
          <t>Mismo cluster</t>
        </is>
      </c>
      <c r="I16" s="16" t="inlineStr">
        <is>
          <t>Estimación geográfica; validar ruta real</t>
        </is>
      </c>
    </row>
    <row r="17" ht="44" customHeight="1">
      <c r="A17" s="16" t="inlineStr">
        <is>
          <t>JP-006</t>
        </is>
      </c>
      <c r="B17" s="16" t="inlineStr">
        <is>
          <t>JP-005</t>
        </is>
      </c>
      <c r="C17" s="16" t="inlineStr">
        <is>
          <t>Nezu Museum</t>
        </is>
      </c>
      <c r="D17" s="16" t="inlineStr">
        <is>
          <t>Cat Street</t>
        </is>
      </c>
      <c r="E17" s="93" t="n">
        <v>0.82</v>
      </c>
      <c r="F17" s="16" t="n">
        <v>11</v>
      </c>
      <c r="G17" s="16" t="inlineStr">
        <is>
          <t>A pie</t>
        </is>
      </c>
      <c r="H17" s="16" t="inlineStr">
        <is>
          <t>Cercano</t>
        </is>
      </c>
      <c r="I17" s="16" t="inlineStr">
        <is>
          <t>Estimación geográfica; validar ruta real</t>
        </is>
      </c>
    </row>
    <row r="18" ht="44" customHeight="1">
      <c r="A18" s="16" t="inlineStr">
        <is>
          <t>JP-006</t>
        </is>
      </c>
      <c r="B18" s="16" t="inlineStr">
        <is>
          <t>JP-035</t>
        </is>
      </c>
      <c r="C18" s="16" t="inlineStr">
        <is>
          <t>Nezu Museum</t>
        </is>
      </c>
      <c r="D18" s="16" t="inlineStr">
        <is>
          <t>The National Art Center, Tokyo</t>
        </is>
      </c>
      <c r="E18" s="93" t="n">
        <v>0.91</v>
      </c>
      <c r="F18" s="16" t="n">
        <v>13</v>
      </c>
      <c r="G18" s="16" t="inlineStr">
        <is>
          <t>A pie</t>
        </is>
      </c>
      <c r="H18" s="16" t="inlineStr">
        <is>
          <t>Cercano</t>
        </is>
      </c>
      <c r="I18" s="16" t="inlineStr">
        <is>
          <t>Estimación geográfica; validar ruta real</t>
        </is>
      </c>
    </row>
    <row r="19" ht="44" customHeight="1">
      <c r="A19" s="16" t="inlineStr">
        <is>
          <t>JP-006</t>
        </is>
      </c>
      <c r="B19" s="16" t="inlineStr">
        <is>
          <t>JP-034</t>
        </is>
      </c>
      <c r="C19" s="16" t="inlineStr">
        <is>
          <t>Nezu Museum</t>
        </is>
      </c>
      <c r="D19" s="16" t="inlineStr">
        <is>
          <t>Mori Art Museum + Tokyo City View</t>
        </is>
      </c>
      <c r="E19" s="93" t="n">
        <v>1.11</v>
      </c>
      <c r="F19" s="16" t="n">
        <v>16</v>
      </c>
      <c r="G19" s="16" t="inlineStr">
        <is>
          <t>A pie</t>
        </is>
      </c>
      <c r="H19" s="16" t="inlineStr">
        <is>
          <t>Cercano</t>
        </is>
      </c>
      <c r="I19" s="16" t="inlineStr">
        <is>
          <t>Estimación geográfica; validar ruta real</t>
        </is>
      </c>
    </row>
    <row r="20" ht="44" customHeight="1">
      <c r="A20" s="16" t="inlineStr">
        <is>
          <t>JP-007</t>
        </is>
      </c>
      <c r="B20" s="16" t="inlineStr">
        <is>
          <t>JP-004</t>
        </is>
      </c>
      <c r="C20" s="16" t="inlineStr">
        <is>
          <t>Ota Memorial Museum of Art</t>
        </is>
      </c>
      <c r="D20" s="16" t="inlineStr">
        <is>
          <t>Takeshita Street</t>
        </is>
      </c>
      <c r="E20" s="93" t="n">
        <v>0.23</v>
      </c>
      <c r="F20" s="16" t="n">
        <v>3</v>
      </c>
      <c r="G20" s="16" t="inlineStr">
        <is>
          <t>A pie</t>
        </is>
      </c>
      <c r="H20" s="16" t="inlineStr">
        <is>
          <t>Mismo cluster</t>
        </is>
      </c>
      <c r="I20" s="16" t="inlineStr">
        <is>
          <t>Estimación geográfica; validar ruta real</t>
        </is>
      </c>
    </row>
    <row r="21" ht="44" customHeight="1">
      <c r="A21" s="16" t="inlineStr">
        <is>
          <t>JP-007</t>
        </is>
      </c>
      <c r="B21" s="16" t="inlineStr">
        <is>
          <t>JP-005</t>
        </is>
      </c>
      <c r="C21" s="16" t="inlineStr">
        <is>
          <t>Ota Memorial Museum of Art</t>
        </is>
      </c>
      <c r="D21" s="16" t="inlineStr">
        <is>
          <t>Cat Street</t>
        </is>
      </c>
      <c r="E21" s="93" t="n">
        <v>0.6899999999999999</v>
      </c>
      <c r="F21" s="16" t="n">
        <v>10</v>
      </c>
      <c r="G21" s="16" t="inlineStr">
        <is>
          <t>A pie</t>
        </is>
      </c>
      <c r="H21" s="16" t="inlineStr">
        <is>
          <t>Mismo cluster</t>
        </is>
      </c>
      <c r="I21" s="16" t="inlineStr">
        <is>
          <t>Estimación geográfica; validar ruta real</t>
        </is>
      </c>
    </row>
    <row r="22" ht="44" customHeight="1">
      <c r="A22" s="16" t="inlineStr">
        <is>
          <t>JP-007</t>
        </is>
      </c>
      <c r="B22" s="16" t="inlineStr">
        <is>
          <t>JP-003</t>
        </is>
      </c>
      <c r="C22" s="16" t="inlineStr">
        <is>
          <t>Ota Memorial Museum of Art</t>
        </is>
      </c>
      <c r="D22" s="16" t="inlineStr">
        <is>
          <t>Meiji Jingu</t>
        </is>
      </c>
      <c r="E22" s="93" t="n">
        <v>0.83</v>
      </c>
      <c r="F22" s="16" t="n">
        <v>12</v>
      </c>
      <c r="G22" s="16" t="inlineStr">
        <is>
          <t>A pie</t>
        </is>
      </c>
      <c r="H22" s="16" t="inlineStr">
        <is>
          <t>Mismo cluster</t>
        </is>
      </c>
      <c r="I22" s="16" t="inlineStr">
        <is>
          <t>Estimación geográfica; validar ruta real</t>
        </is>
      </c>
    </row>
    <row r="23" ht="44" customHeight="1">
      <c r="A23" s="16" t="inlineStr">
        <is>
          <t>JP-008</t>
        </is>
      </c>
      <c r="B23" s="16" t="inlineStr">
        <is>
          <t>JP-001</t>
        </is>
      </c>
      <c r="C23" s="16" t="inlineStr">
        <is>
          <t>Shibuya PARCO + Nintendo TOKYO</t>
        </is>
      </c>
      <c r="D23" s="16" t="inlineStr">
        <is>
          <t>Shibuya Crossing</t>
        </is>
      </c>
      <c r="E23" s="93" t="n">
        <v>0.32</v>
      </c>
      <c r="F23" s="16" t="n">
        <v>4</v>
      </c>
      <c r="G23" s="16" t="inlineStr">
        <is>
          <t>A pie</t>
        </is>
      </c>
      <c r="H23" s="16" t="inlineStr">
        <is>
          <t>Mismo cluster</t>
        </is>
      </c>
      <c r="I23" s="16" t="inlineStr">
        <is>
          <t>Estimación geográfica; validar ruta real</t>
        </is>
      </c>
    </row>
    <row r="24" ht="44" customHeight="1">
      <c r="A24" s="16" t="inlineStr">
        <is>
          <t>JP-008</t>
        </is>
      </c>
      <c r="B24" s="16" t="inlineStr">
        <is>
          <t>JP-002</t>
        </is>
      </c>
      <c r="C24" s="16" t="inlineStr">
        <is>
          <t>Shibuya PARCO + Nintendo TOKYO</t>
        </is>
      </c>
      <c r="D24" s="16" t="inlineStr">
        <is>
          <t>SHIBUYA SKY</t>
        </is>
      </c>
      <c r="E24" s="93" t="n">
        <v>0.5</v>
      </c>
      <c r="F24" s="16" t="n">
        <v>7</v>
      </c>
      <c r="G24" s="16" t="inlineStr">
        <is>
          <t>A pie</t>
        </is>
      </c>
      <c r="H24" s="16" t="inlineStr">
        <is>
          <t>Mismo cluster</t>
        </is>
      </c>
      <c r="I24" s="16" t="inlineStr">
        <is>
          <t>Estimación geográfica; validar ruta real</t>
        </is>
      </c>
    </row>
    <row r="25" ht="44" customHeight="1">
      <c r="A25" s="16" t="inlineStr">
        <is>
          <t>JP-008</t>
        </is>
      </c>
      <c r="B25" s="16" t="inlineStr">
        <is>
          <t>JP-005</t>
        </is>
      </c>
      <c r="C25" s="16" t="inlineStr">
        <is>
          <t>Shibuya PARCO + Nintendo TOKYO</t>
        </is>
      </c>
      <c r="D25" s="16" t="inlineStr">
        <is>
          <t>Cat Street</t>
        </is>
      </c>
      <c r="E25" s="93" t="n">
        <v>0.97</v>
      </c>
      <c r="F25" s="16" t="n">
        <v>14</v>
      </c>
      <c r="G25" s="16" t="inlineStr">
        <is>
          <t>A pie</t>
        </is>
      </c>
      <c r="H25" s="16" t="inlineStr">
        <is>
          <t>Cercano</t>
        </is>
      </c>
      <c r="I25" s="16" t="inlineStr">
        <is>
          <t>Estimación geográfica; validar ruta real</t>
        </is>
      </c>
    </row>
    <row r="26" ht="44" customHeight="1">
      <c r="A26" s="16" t="inlineStr">
        <is>
          <t>JP-009</t>
        </is>
      </c>
      <c r="B26" s="16" t="inlineStr">
        <is>
          <t>JP-002</t>
        </is>
      </c>
      <c r="C26" s="16" t="inlineStr">
        <is>
          <t>Daikanyama T-SITE</t>
        </is>
      </c>
      <c r="D26" s="16" t="inlineStr">
        <is>
          <t>SHIBUYA SKY</t>
        </is>
      </c>
      <c r="E26" s="93" t="n">
        <v>1.1</v>
      </c>
      <c r="F26" s="16" t="n">
        <v>15</v>
      </c>
      <c r="G26" s="16" t="inlineStr">
        <is>
          <t>A pie</t>
        </is>
      </c>
      <c r="H26" s="16" t="inlineStr">
        <is>
          <t>Cercano</t>
        </is>
      </c>
      <c r="I26" s="16" t="inlineStr">
        <is>
          <t>Estimación geográfica; validar ruta real</t>
        </is>
      </c>
    </row>
    <row r="27" ht="44" customHeight="1">
      <c r="A27" s="16" t="inlineStr">
        <is>
          <t>JP-009</t>
        </is>
      </c>
      <c r="B27" s="16" t="inlineStr">
        <is>
          <t>JP-001</t>
        </is>
      </c>
      <c r="C27" s="16" t="inlineStr">
        <is>
          <t>Daikanyama T-SITE</t>
        </is>
      </c>
      <c r="D27" s="16" t="inlineStr">
        <is>
          <t>Shibuya Crossing</t>
        </is>
      </c>
      <c r="E27" s="93" t="n">
        <v>1.19</v>
      </c>
      <c r="F27" s="16" t="n">
        <v>17</v>
      </c>
      <c r="G27" s="16" t="inlineStr">
        <is>
          <t>A pie</t>
        </is>
      </c>
      <c r="H27" s="16" t="inlineStr">
        <is>
          <t>Cercano</t>
        </is>
      </c>
      <c r="I27" s="16" t="inlineStr">
        <is>
          <t>Estimación geográfica; validar ruta real</t>
        </is>
      </c>
    </row>
    <row r="28" ht="44" customHeight="1">
      <c r="A28" s="16" t="inlineStr">
        <is>
          <t>JP-009</t>
        </is>
      </c>
      <c r="B28" s="16" t="inlineStr">
        <is>
          <t>JP-008</t>
        </is>
      </c>
      <c r="C28" s="16" t="inlineStr">
        <is>
          <t>Daikanyama T-SITE</t>
        </is>
      </c>
      <c r="D28" s="16" t="inlineStr">
        <is>
          <t>Shibuya PARCO + Nintendo TOKYO</t>
        </is>
      </c>
      <c r="E28" s="93" t="n">
        <v>1.47</v>
      </c>
      <c r="F28" s="16" t="n">
        <v>21</v>
      </c>
      <c r="G28" s="16" t="inlineStr">
        <is>
          <t>A pie</t>
        </is>
      </c>
      <c r="H28" s="16" t="inlineStr">
        <is>
          <t>Cercano</t>
        </is>
      </c>
      <c r="I28" s="16" t="inlineStr">
        <is>
          <t>Estimación geográfica; validar ruta real</t>
        </is>
      </c>
    </row>
    <row r="29" ht="44" customHeight="1">
      <c r="A29" s="16" t="inlineStr">
        <is>
          <t>JP-010</t>
        </is>
      </c>
      <c r="B29" s="16" t="inlineStr">
        <is>
          <t>JP-013</t>
        </is>
      </c>
      <c r="C29" s="16" t="inlineStr">
        <is>
          <t>Shinjuku Gyoen National Garden</t>
        </is>
      </c>
      <c r="D29" s="16" t="inlineStr">
        <is>
          <t>Golden Gai</t>
        </is>
      </c>
      <c r="E29" s="93" t="n">
        <v>1.1</v>
      </c>
      <c r="F29" s="16" t="n">
        <v>15</v>
      </c>
      <c r="G29" s="16" t="inlineStr">
        <is>
          <t>A pie</t>
        </is>
      </c>
      <c r="H29" s="16" t="inlineStr">
        <is>
          <t>Mismo cluster</t>
        </is>
      </c>
      <c r="I29" s="16" t="inlineStr">
        <is>
          <t>Estimación geográfica; validar ruta real</t>
        </is>
      </c>
    </row>
    <row r="30" ht="44" customHeight="1">
      <c r="A30" s="16" t="inlineStr">
        <is>
          <t>JP-010</t>
        </is>
      </c>
      <c r="B30" s="16" t="inlineStr">
        <is>
          <t>JP-012</t>
        </is>
      </c>
      <c r="C30" s="16" t="inlineStr">
        <is>
          <t>Shinjuku Gyoen National Garden</t>
        </is>
      </c>
      <c r="D30" s="16" t="inlineStr">
        <is>
          <t>Kabukicho</t>
        </is>
      </c>
      <c r="E30" s="93" t="n">
        <v>1.22</v>
      </c>
      <c r="F30" s="16" t="n">
        <v>17</v>
      </c>
      <c r="G30" s="16" t="inlineStr">
        <is>
          <t>A pie</t>
        </is>
      </c>
      <c r="H30" s="16" t="inlineStr">
        <is>
          <t>Mismo cluster</t>
        </is>
      </c>
      <c r="I30" s="16" t="inlineStr">
        <is>
          <t>Estimación geográfica; validar ruta real</t>
        </is>
      </c>
    </row>
    <row r="31" ht="44" customHeight="1">
      <c r="A31" s="16" t="inlineStr">
        <is>
          <t>JP-010</t>
        </is>
      </c>
      <c r="B31" s="16" t="inlineStr">
        <is>
          <t>JP-014</t>
        </is>
      </c>
      <c r="C31" s="16" t="inlineStr">
        <is>
          <t>Shinjuku Gyoen National Garden</t>
        </is>
      </c>
      <c r="D31" s="16" t="inlineStr">
        <is>
          <t>Omoide Yokocho</t>
        </is>
      </c>
      <c r="E31" s="93" t="n">
        <v>1.28</v>
      </c>
      <c r="F31" s="16" t="n">
        <v>18</v>
      </c>
      <c r="G31" s="16" t="inlineStr">
        <is>
          <t>A pie</t>
        </is>
      </c>
      <c r="H31" s="16" t="inlineStr">
        <is>
          <t>Mismo cluster</t>
        </is>
      </c>
      <c r="I31" s="16" t="inlineStr">
        <is>
          <t>Estimación geográfica; validar ruta real</t>
        </is>
      </c>
    </row>
    <row r="32" ht="44" customHeight="1">
      <c r="A32" s="16" t="inlineStr">
        <is>
          <t>JP-011</t>
        </is>
      </c>
      <c r="B32" s="16" t="inlineStr">
        <is>
          <t>JP-014</t>
        </is>
      </c>
      <c r="C32" s="16" t="inlineStr">
        <is>
          <t>Tokyo Metropolitan Government Observatory</t>
        </is>
      </c>
      <c r="D32" s="16" t="inlineStr">
        <is>
          <t>Omoide Yokocho</t>
        </is>
      </c>
      <c r="E32" s="93" t="n">
        <v>0.77</v>
      </c>
      <c r="F32" s="16" t="n">
        <v>11</v>
      </c>
      <c r="G32" s="16" t="inlineStr">
        <is>
          <t>A pie</t>
        </is>
      </c>
      <c r="H32" s="16" t="inlineStr">
        <is>
          <t>Mismo cluster</t>
        </is>
      </c>
      <c r="I32" s="16" t="inlineStr">
        <is>
          <t>Estimación geográfica; validar ruta real</t>
        </is>
      </c>
    </row>
    <row r="33" ht="44" customHeight="1">
      <c r="A33" s="16" t="inlineStr">
        <is>
          <t>JP-011</t>
        </is>
      </c>
      <c r="B33" s="16" t="inlineStr">
        <is>
          <t>JP-012</t>
        </is>
      </c>
      <c r="C33" s="16" t="inlineStr">
        <is>
          <t>Tokyo Metropolitan Government Observatory</t>
        </is>
      </c>
      <c r="D33" s="16" t="inlineStr">
        <is>
          <t>Kabukicho</t>
        </is>
      </c>
      <c r="E33" s="93" t="n">
        <v>1.1</v>
      </c>
      <c r="F33" s="16" t="n">
        <v>15</v>
      </c>
      <c r="G33" s="16" t="inlineStr">
        <is>
          <t>A pie</t>
        </is>
      </c>
      <c r="H33" s="16" t="inlineStr">
        <is>
          <t>Mismo cluster</t>
        </is>
      </c>
      <c r="I33" s="16" t="inlineStr">
        <is>
          <t>Estimación geográfica; validar ruta real</t>
        </is>
      </c>
    </row>
    <row r="34" ht="44" customHeight="1">
      <c r="A34" s="16" t="inlineStr">
        <is>
          <t>JP-011</t>
        </is>
      </c>
      <c r="B34" s="16" t="inlineStr">
        <is>
          <t>JP-013</t>
        </is>
      </c>
      <c r="C34" s="16" t="inlineStr">
        <is>
          <t>Tokyo Metropolitan Government Observatory</t>
        </is>
      </c>
      <c r="D34" s="16" t="inlineStr">
        <is>
          <t>Golden Gai</t>
        </is>
      </c>
      <c r="E34" s="93" t="n">
        <v>1.25</v>
      </c>
      <c r="F34" s="16" t="n">
        <v>18</v>
      </c>
      <c r="G34" s="16" t="inlineStr">
        <is>
          <t>A pie</t>
        </is>
      </c>
      <c r="H34" s="16" t="inlineStr">
        <is>
          <t>Mismo cluster</t>
        </is>
      </c>
      <c r="I34" s="16" t="inlineStr">
        <is>
          <t>Estimación geográfica; validar ruta real</t>
        </is>
      </c>
    </row>
    <row r="35" ht="44" customHeight="1">
      <c r="A35" s="16" t="inlineStr">
        <is>
          <t>JP-012</t>
        </is>
      </c>
      <c r="B35" s="16" t="inlineStr">
        <is>
          <t>JP-013</t>
        </is>
      </c>
      <c r="C35" s="16" t="inlineStr">
        <is>
          <t>Kabukicho</t>
        </is>
      </c>
      <c r="D35" s="16" t="inlineStr">
        <is>
          <t>Golden Gai</t>
        </is>
      </c>
      <c r="E35" s="93" t="n">
        <v>0.18</v>
      </c>
      <c r="F35" s="16" t="n">
        <v>3</v>
      </c>
      <c r="G35" s="16" t="inlineStr">
        <is>
          <t>A pie</t>
        </is>
      </c>
      <c r="H35" s="16" t="inlineStr">
        <is>
          <t>Mismo cluster</t>
        </is>
      </c>
      <c r="I35" s="16" t="inlineStr">
        <is>
          <t>Estimación geográfica; validar ruta real</t>
        </is>
      </c>
    </row>
    <row r="36" ht="44" customHeight="1">
      <c r="A36" s="16" t="inlineStr">
        <is>
          <t>JP-012</t>
        </is>
      </c>
      <c r="B36" s="16" t="inlineStr">
        <is>
          <t>JP-014</t>
        </is>
      </c>
      <c r="C36" s="16" t="inlineStr">
        <is>
          <t>Kabukicho</t>
        </is>
      </c>
      <c r="D36" s="16" t="inlineStr">
        <is>
          <t>Omoide Yokocho</t>
        </is>
      </c>
      <c r="E36" s="93" t="n">
        <v>0.33</v>
      </c>
      <c r="F36" s="16" t="n">
        <v>5</v>
      </c>
      <c r="G36" s="16" t="inlineStr">
        <is>
          <t>A pie</t>
        </is>
      </c>
      <c r="H36" s="16" t="inlineStr">
        <is>
          <t>Mismo cluster</t>
        </is>
      </c>
      <c r="I36" s="16" t="inlineStr">
        <is>
          <t>Estimación geográfica; validar ruta real</t>
        </is>
      </c>
    </row>
    <row r="37" ht="44" customHeight="1">
      <c r="A37" s="16" t="inlineStr">
        <is>
          <t>JP-012</t>
        </is>
      </c>
      <c r="B37" s="16" t="inlineStr">
        <is>
          <t>JP-011</t>
        </is>
      </c>
      <c r="C37" s="16" t="inlineStr">
        <is>
          <t>Kabukicho</t>
        </is>
      </c>
      <c r="D37" s="16" t="inlineStr">
        <is>
          <t>Tokyo Metropolitan Government Observatory</t>
        </is>
      </c>
      <c r="E37" s="93" t="n">
        <v>1.1</v>
      </c>
      <c r="F37" s="16" t="n">
        <v>15</v>
      </c>
      <c r="G37" s="16" t="inlineStr">
        <is>
          <t>A pie</t>
        </is>
      </c>
      <c r="H37" s="16" t="inlineStr">
        <is>
          <t>Mismo cluster</t>
        </is>
      </c>
      <c r="I37" s="16" t="inlineStr">
        <is>
          <t>Estimación geográfica; validar ruta real</t>
        </is>
      </c>
    </row>
    <row r="38" ht="44" customHeight="1">
      <c r="A38" s="16" t="inlineStr">
        <is>
          <t>JP-013</t>
        </is>
      </c>
      <c r="B38" s="16" t="inlineStr">
        <is>
          <t>JP-012</t>
        </is>
      </c>
      <c r="C38" s="16" t="inlineStr">
        <is>
          <t>Golden Gai</t>
        </is>
      </c>
      <c r="D38" s="16" t="inlineStr">
        <is>
          <t>Kabukicho</t>
        </is>
      </c>
      <c r="E38" s="93" t="n">
        <v>0.18</v>
      </c>
      <c r="F38" s="16" t="n">
        <v>3</v>
      </c>
      <c r="G38" s="16" t="inlineStr">
        <is>
          <t>A pie</t>
        </is>
      </c>
      <c r="H38" s="16" t="inlineStr">
        <is>
          <t>Mismo cluster</t>
        </is>
      </c>
      <c r="I38" s="16" t="inlineStr">
        <is>
          <t>Estimación geográfica; validar ruta real</t>
        </is>
      </c>
    </row>
    <row r="39" ht="44" customHeight="1">
      <c r="A39" s="16" t="inlineStr">
        <is>
          <t>JP-013</t>
        </is>
      </c>
      <c r="B39" s="16" t="inlineStr">
        <is>
          <t>JP-014</t>
        </is>
      </c>
      <c r="C39" s="16" t="inlineStr">
        <is>
          <t>Golden Gai</t>
        </is>
      </c>
      <c r="D39" s="16" t="inlineStr">
        <is>
          <t>Omoide Yokocho</t>
        </is>
      </c>
      <c r="E39" s="93" t="n">
        <v>0.49</v>
      </c>
      <c r="F39" s="16" t="n">
        <v>7</v>
      </c>
      <c r="G39" s="16" t="inlineStr">
        <is>
          <t>A pie</t>
        </is>
      </c>
      <c r="H39" s="16" t="inlineStr">
        <is>
          <t>Mismo cluster</t>
        </is>
      </c>
      <c r="I39" s="16" t="inlineStr">
        <is>
          <t>Estimación geográfica; validar ruta real</t>
        </is>
      </c>
    </row>
    <row r="40" ht="44" customHeight="1">
      <c r="A40" s="16" t="inlineStr">
        <is>
          <t>JP-013</t>
        </is>
      </c>
      <c r="B40" s="16" t="inlineStr">
        <is>
          <t>JP-010</t>
        </is>
      </c>
      <c r="C40" s="16" t="inlineStr">
        <is>
          <t>Golden Gai</t>
        </is>
      </c>
      <c r="D40" s="16" t="inlineStr">
        <is>
          <t>Shinjuku Gyoen National Garden</t>
        </is>
      </c>
      <c r="E40" s="93" t="n">
        <v>1.1</v>
      </c>
      <c r="F40" s="16" t="n">
        <v>15</v>
      </c>
      <c r="G40" s="16" t="inlineStr">
        <is>
          <t>A pie</t>
        </is>
      </c>
      <c r="H40" s="16" t="inlineStr">
        <is>
          <t>Mismo cluster</t>
        </is>
      </c>
      <c r="I40" s="16" t="inlineStr">
        <is>
          <t>Estimación geográfica; validar ruta real</t>
        </is>
      </c>
    </row>
    <row r="41" ht="44" customHeight="1">
      <c r="A41" s="16" t="inlineStr">
        <is>
          <t>JP-014</t>
        </is>
      </c>
      <c r="B41" s="16" t="inlineStr">
        <is>
          <t>JP-012</t>
        </is>
      </c>
      <c r="C41" s="16" t="inlineStr">
        <is>
          <t>Omoide Yokocho</t>
        </is>
      </c>
      <c r="D41" s="16" t="inlineStr">
        <is>
          <t>Kabukicho</t>
        </is>
      </c>
      <c r="E41" s="93" t="n">
        <v>0.33</v>
      </c>
      <c r="F41" s="16" t="n">
        <v>5</v>
      </c>
      <c r="G41" s="16" t="inlineStr">
        <is>
          <t>A pie</t>
        </is>
      </c>
      <c r="H41" s="16" t="inlineStr">
        <is>
          <t>Mismo cluster</t>
        </is>
      </c>
      <c r="I41" s="16" t="inlineStr">
        <is>
          <t>Estimación geográfica; validar ruta real</t>
        </is>
      </c>
    </row>
    <row r="42" ht="44" customHeight="1">
      <c r="A42" s="16" t="inlineStr">
        <is>
          <t>JP-014</t>
        </is>
      </c>
      <c r="B42" s="16" t="inlineStr">
        <is>
          <t>JP-013</t>
        </is>
      </c>
      <c r="C42" s="16" t="inlineStr">
        <is>
          <t>Omoide Yokocho</t>
        </is>
      </c>
      <c r="D42" s="16" t="inlineStr">
        <is>
          <t>Golden Gai</t>
        </is>
      </c>
      <c r="E42" s="93" t="n">
        <v>0.49</v>
      </c>
      <c r="F42" s="16" t="n">
        <v>7</v>
      </c>
      <c r="G42" s="16" t="inlineStr">
        <is>
          <t>A pie</t>
        </is>
      </c>
      <c r="H42" s="16" t="inlineStr">
        <is>
          <t>Mismo cluster</t>
        </is>
      </c>
      <c r="I42" s="16" t="inlineStr">
        <is>
          <t>Estimación geográfica; validar ruta real</t>
        </is>
      </c>
    </row>
    <row r="43" ht="44" customHeight="1">
      <c r="A43" s="16" t="inlineStr">
        <is>
          <t>JP-014</t>
        </is>
      </c>
      <c r="B43" s="16" t="inlineStr">
        <is>
          <t>JP-011</t>
        </is>
      </c>
      <c r="C43" s="16" t="inlineStr">
        <is>
          <t>Omoide Yokocho</t>
        </is>
      </c>
      <c r="D43" s="16" t="inlineStr">
        <is>
          <t>Tokyo Metropolitan Government Observatory</t>
        </is>
      </c>
      <c r="E43" s="93" t="n">
        <v>0.77</v>
      </c>
      <c r="F43" s="16" t="n">
        <v>11</v>
      </c>
      <c r="G43" s="16" t="inlineStr">
        <is>
          <t>A pie</t>
        </is>
      </c>
      <c r="H43" s="16" t="inlineStr">
        <is>
          <t>Mismo cluster</t>
        </is>
      </c>
      <c r="I43" s="16" t="inlineStr">
        <is>
          <t>Estimación geográfica; validar ruta real</t>
        </is>
      </c>
    </row>
    <row r="44" ht="44" customHeight="1">
      <c r="A44" s="16" t="inlineStr">
        <is>
          <t>JP-015</t>
        </is>
      </c>
      <c r="B44" s="16" t="inlineStr">
        <is>
          <t>JP-028</t>
        </is>
      </c>
      <c r="C44" s="16" t="inlineStr">
        <is>
          <t>Kagurazaka backstreets</t>
        </is>
      </c>
      <c r="D44" s="16" t="inlineStr">
        <is>
          <t>Jimbocho Book Town</t>
        </is>
      </c>
      <c r="E44" s="93" t="n">
        <v>1.7</v>
      </c>
      <c r="F44" s="16" t="n">
        <v>24</v>
      </c>
      <c r="G44" s="16" t="inlineStr">
        <is>
          <t>A pie</t>
        </is>
      </c>
      <c r="H44" s="16" t="inlineStr">
        <is>
          <t>Cercano</t>
        </is>
      </c>
      <c r="I44" s="16" t="inlineStr">
        <is>
          <t>Estimación geográfica; validar ruta real</t>
        </is>
      </c>
    </row>
    <row r="45" ht="44" customHeight="1">
      <c r="A45" s="16" t="inlineStr">
        <is>
          <t>JP-015</t>
        </is>
      </c>
      <c r="B45" s="16" t="inlineStr">
        <is>
          <t>JP-029</t>
        </is>
      </c>
      <c r="C45" s="16" t="inlineStr">
        <is>
          <t>Kagurazaka backstreets</t>
        </is>
      </c>
      <c r="D45" s="16" t="inlineStr">
        <is>
          <t>Imperial Palace East Gardens</t>
        </is>
      </c>
      <c r="E45" s="93" t="n">
        <v>2.14</v>
      </c>
      <c r="F45" s="16" t="n">
        <v>17</v>
      </c>
      <c r="G45" s="16" t="inlineStr">
        <is>
          <t>Transporte local</t>
        </is>
      </c>
      <c r="H45" s="16" t="inlineStr">
        <is>
          <t>Cercano</t>
        </is>
      </c>
      <c r="I45" s="16" t="inlineStr">
        <is>
          <t>Estimación geográfica; validar ruta real</t>
        </is>
      </c>
    </row>
    <row r="46" ht="44" customHeight="1">
      <c r="A46" s="16" t="inlineStr">
        <is>
          <t>JP-015</t>
        </is>
      </c>
      <c r="B46" s="16" t="inlineStr">
        <is>
          <t>JP-027</t>
        </is>
      </c>
      <c r="C46" s="16" t="inlineStr">
        <is>
          <t>Kagurazaka backstreets</t>
        </is>
      </c>
      <c r="D46" s="16" t="inlineStr">
        <is>
          <t>Kanda Myojin</t>
        </is>
      </c>
      <c r="E46" s="93" t="n">
        <v>2.49</v>
      </c>
      <c r="F46" s="16" t="n">
        <v>20</v>
      </c>
      <c r="G46" s="16" t="inlineStr">
        <is>
          <t>Transporte local</t>
        </is>
      </c>
      <c r="H46" s="16" t="inlineStr">
        <is>
          <t>Cercano</t>
        </is>
      </c>
      <c r="I46" s="16" t="inlineStr">
        <is>
          <t>Estimación geográfica; validar ruta real</t>
        </is>
      </c>
    </row>
    <row r="47" ht="44" customHeight="1">
      <c r="A47" s="16" t="inlineStr">
        <is>
          <t>JP-016</t>
        </is>
      </c>
      <c r="B47" s="16" t="inlineStr">
        <is>
          <t>JP-017</t>
        </is>
      </c>
      <c r="C47" s="16" t="inlineStr">
        <is>
          <t>Sensō-ji</t>
        </is>
      </c>
      <c r="D47" s="16" t="inlineStr">
        <is>
          <t>Asakusa Culture Tourist Information Center</t>
        </is>
      </c>
      <c r="E47" s="93" t="n">
        <v>0.46</v>
      </c>
      <c r="F47" s="16" t="n">
        <v>6</v>
      </c>
      <c r="G47" s="16" t="inlineStr">
        <is>
          <t>A pie</t>
        </is>
      </c>
      <c r="H47" s="16" t="inlineStr">
        <is>
          <t>Mismo cluster</t>
        </is>
      </c>
      <c r="I47" s="16" t="inlineStr">
        <is>
          <t>Estimación geográfica; validar ruta real</t>
        </is>
      </c>
    </row>
    <row r="48" ht="44" customHeight="1">
      <c r="A48" s="16" t="inlineStr">
        <is>
          <t>JP-016</t>
        </is>
      </c>
      <c r="B48" s="16" t="inlineStr">
        <is>
          <t>JP-018</t>
        </is>
      </c>
      <c r="C48" s="16" t="inlineStr">
        <is>
          <t>Sensō-ji</t>
        </is>
      </c>
      <c r="D48" s="16" t="inlineStr">
        <is>
          <t>Kappabashi Kitchen Town</t>
        </is>
      </c>
      <c r="E48" s="93" t="n">
        <v>0.75</v>
      </c>
      <c r="F48" s="16" t="n">
        <v>10</v>
      </c>
      <c r="G48" s="16" t="inlineStr">
        <is>
          <t>A pie</t>
        </is>
      </c>
      <c r="H48" s="16" t="inlineStr">
        <is>
          <t>Mismo cluster</t>
        </is>
      </c>
      <c r="I48" s="16" t="inlineStr">
        <is>
          <t>Estimación geográfica; validar ruta real</t>
        </is>
      </c>
    </row>
    <row r="49" ht="44" customHeight="1">
      <c r="A49" s="16" t="inlineStr">
        <is>
          <t>JP-016</t>
        </is>
      </c>
      <c r="B49" s="16" t="inlineStr">
        <is>
          <t>JP-019</t>
        </is>
      </c>
      <c r="C49" s="16" t="inlineStr">
        <is>
          <t>Sensō-ji</t>
        </is>
      </c>
      <c r="D49" s="16" t="inlineStr">
        <is>
          <t>Tokyo Skytree</t>
        </is>
      </c>
      <c r="E49" s="93" t="n">
        <v>1.37</v>
      </c>
      <c r="F49" s="16" t="n">
        <v>19</v>
      </c>
      <c r="G49" s="16" t="inlineStr">
        <is>
          <t>A pie</t>
        </is>
      </c>
      <c r="H49" s="16" t="inlineStr">
        <is>
          <t>Cercano</t>
        </is>
      </c>
      <c r="I49" s="16" t="inlineStr">
        <is>
          <t>Estimación geográfica; validar ruta real</t>
        </is>
      </c>
    </row>
    <row r="50" ht="44" customHeight="1">
      <c r="A50" s="16" t="inlineStr">
        <is>
          <t>JP-017</t>
        </is>
      </c>
      <c r="B50" s="16" t="inlineStr">
        <is>
          <t>JP-016</t>
        </is>
      </c>
      <c r="C50" s="16" t="inlineStr">
        <is>
          <t>Asakusa Culture Tourist Information Center</t>
        </is>
      </c>
      <c r="D50" s="16" t="inlineStr">
        <is>
          <t>Sensō-ji</t>
        </is>
      </c>
      <c r="E50" s="93" t="n">
        <v>0.46</v>
      </c>
      <c r="F50" s="16" t="n">
        <v>6</v>
      </c>
      <c r="G50" s="16" t="inlineStr">
        <is>
          <t>A pie</t>
        </is>
      </c>
      <c r="H50" s="16" t="inlineStr">
        <is>
          <t>Mismo cluster</t>
        </is>
      </c>
      <c r="I50" s="16" t="inlineStr">
        <is>
          <t>Estimación geográfica; validar ruta real</t>
        </is>
      </c>
    </row>
    <row r="51" ht="44" customHeight="1">
      <c r="A51" s="16" t="inlineStr">
        <is>
          <t>JP-017</t>
        </is>
      </c>
      <c r="B51" s="16" t="inlineStr">
        <is>
          <t>JP-018</t>
        </is>
      </c>
      <c r="C51" s="16" t="inlineStr">
        <is>
          <t>Asakusa Culture Tourist Information Center</t>
        </is>
      </c>
      <c r="D51" s="16" t="inlineStr">
        <is>
          <t>Kappabashi Kitchen Town</t>
        </is>
      </c>
      <c r="E51" s="93" t="n">
        <v>0.92</v>
      </c>
      <c r="F51" s="16" t="n">
        <v>13</v>
      </c>
      <c r="G51" s="16" t="inlineStr">
        <is>
          <t>A pie</t>
        </is>
      </c>
      <c r="H51" s="16" t="inlineStr">
        <is>
          <t>Mismo cluster</t>
        </is>
      </c>
      <c r="I51" s="16" t="inlineStr">
        <is>
          <t>Estimación geográfica; validar ruta real</t>
        </is>
      </c>
    </row>
    <row r="52" ht="44" customHeight="1">
      <c r="A52" s="16" t="inlineStr">
        <is>
          <t>JP-017</t>
        </is>
      </c>
      <c r="B52" s="16" t="inlineStr">
        <is>
          <t>JP-019</t>
        </is>
      </c>
      <c r="C52" s="16" t="inlineStr">
        <is>
          <t>Asakusa Culture Tourist Information Center</t>
        </is>
      </c>
      <c r="D52" s="16" t="inlineStr">
        <is>
          <t>Tokyo Skytree</t>
        </is>
      </c>
      <c r="E52" s="93" t="n">
        <v>1.27</v>
      </c>
      <c r="F52" s="16" t="n">
        <v>18</v>
      </c>
      <c r="G52" s="16" t="inlineStr">
        <is>
          <t>A pie</t>
        </is>
      </c>
      <c r="H52" s="16" t="inlineStr">
        <is>
          <t>Cercano</t>
        </is>
      </c>
      <c r="I52" s="16" t="inlineStr">
        <is>
          <t>Estimación geográfica; validar ruta real</t>
        </is>
      </c>
    </row>
    <row r="53" ht="44" customHeight="1">
      <c r="A53" s="16" t="inlineStr">
        <is>
          <t>JP-018</t>
        </is>
      </c>
      <c r="B53" s="16" t="inlineStr">
        <is>
          <t>JP-016</t>
        </is>
      </c>
      <c r="C53" s="16" t="inlineStr">
        <is>
          <t>Kappabashi Kitchen Town</t>
        </is>
      </c>
      <c r="D53" s="16" t="inlineStr">
        <is>
          <t>Sensō-ji</t>
        </is>
      </c>
      <c r="E53" s="93" t="n">
        <v>0.75</v>
      </c>
      <c r="F53" s="16" t="n">
        <v>10</v>
      </c>
      <c r="G53" s="16" t="inlineStr">
        <is>
          <t>A pie</t>
        </is>
      </c>
      <c r="H53" s="16" t="inlineStr">
        <is>
          <t>Mismo cluster</t>
        </is>
      </c>
      <c r="I53" s="16" t="inlineStr">
        <is>
          <t>Estimación geográfica; validar ruta real</t>
        </is>
      </c>
    </row>
    <row r="54" ht="44" customHeight="1">
      <c r="A54" s="16" t="inlineStr">
        <is>
          <t>JP-018</t>
        </is>
      </c>
      <c r="B54" s="16" t="inlineStr">
        <is>
          <t>JP-017</t>
        </is>
      </c>
      <c r="C54" s="16" t="inlineStr">
        <is>
          <t>Kappabashi Kitchen Town</t>
        </is>
      </c>
      <c r="D54" s="16" t="inlineStr">
        <is>
          <t>Asakusa Culture Tourist Information Center</t>
        </is>
      </c>
      <c r="E54" s="93" t="n">
        <v>0.92</v>
      </c>
      <c r="F54" s="16" t="n">
        <v>13</v>
      </c>
      <c r="G54" s="16" t="inlineStr">
        <is>
          <t>A pie</t>
        </is>
      </c>
      <c r="H54" s="16" t="inlineStr">
        <is>
          <t>Mismo cluster</t>
        </is>
      </c>
      <c r="I54" s="16" t="inlineStr">
        <is>
          <t>Estimación geográfica; validar ruta real</t>
        </is>
      </c>
    </row>
    <row r="55" ht="44" customHeight="1">
      <c r="A55" s="16" t="inlineStr">
        <is>
          <t>JP-018</t>
        </is>
      </c>
      <c r="B55" s="16" t="inlineStr">
        <is>
          <t>JP-021</t>
        </is>
      </c>
      <c r="C55" s="16" t="inlineStr">
        <is>
          <t>Kappabashi Kitchen Town</t>
        </is>
      </c>
      <c r="D55" s="16" t="inlineStr">
        <is>
          <t>Tokyo National Museum</t>
        </is>
      </c>
      <c r="E55" s="93" t="n">
        <v>1.14</v>
      </c>
      <c r="F55" s="16" t="n">
        <v>16</v>
      </c>
      <c r="G55" s="16" t="inlineStr">
        <is>
          <t>A pie</t>
        </is>
      </c>
      <c r="H55" s="16" t="inlineStr">
        <is>
          <t>Cercano</t>
        </is>
      </c>
      <c r="I55" s="16" t="inlineStr">
        <is>
          <t>Estimación geográfica; validar ruta real</t>
        </is>
      </c>
    </row>
    <row r="56" ht="44" customHeight="1">
      <c r="A56" s="16" t="inlineStr">
        <is>
          <t>JP-019</t>
        </is>
      </c>
      <c r="B56" s="16" t="inlineStr">
        <is>
          <t>JP-017</t>
        </is>
      </c>
      <c r="C56" s="16" t="inlineStr">
        <is>
          <t>Tokyo Skytree</t>
        </is>
      </c>
      <c r="D56" s="16" t="inlineStr">
        <is>
          <t>Asakusa Culture Tourist Information Center</t>
        </is>
      </c>
      <c r="E56" s="93" t="n">
        <v>1.27</v>
      </c>
      <c r="F56" s="16" t="n">
        <v>18</v>
      </c>
      <c r="G56" s="16" t="inlineStr">
        <is>
          <t>A pie</t>
        </is>
      </c>
      <c r="H56" s="16" t="inlineStr">
        <is>
          <t>Cercano</t>
        </is>
      </c>
      <c r="I56" s="16" t="inlineStr">
        <is>
          <t>Estimación geográfica; validar ruta real</t>
        </is>
      </c>
    </row>
    <row r="57" ht="44" customHeight="1">
      <c r="A57" s="16" t="inlineStr">
        <is>
          <t>JP-019</t>
        </is>
      </c>
      <c r="B57" s="16" t="inlineStr">
        <is>
          <t>JP-016</t>
        </is>
      </c>
      <c r="C57" s="16" t="inlineStr">
        <is>
          <t>Tokyo Skytree</t>
        </is>
      </c>
      <c r="D57" s="16" t="inlineStr">
        <is>
          <t>Sensō-ji</t>
        </is>
      </c>
      <c r="E57" s="93" t="n">
        <v>1.37</v>
      </c>
      <c r="F57" s="16" t="n">
        <v>19</v>
      </c>
      <c r="G57" s="16" t="inlineStr">
        <is>
          <t>A pie</t>
        </is>
      </c>
      <c r="H57" s="16" t="inlineStr">
        <is>
          <t>Cercano</t>
        </is>
      </c>
      <c r="I57" s="16" t="inlineStr">
        <is>
          <t>Estimación geográfica; validar ruta real</t>
        </is>
      </c>
    </row>
    <row r="58" ht="44" customHeight="1">
      <c r="A58" s="16" t="inlineStr">
        <is>
          <t>JP-019</t>
        </is>
      </c>
      <c r="B58" s="16" t="inlineStr">
        <is>
          <t>JP-020</t>
        </is>
      </c>
      <c r="C58" s="16" t="inlineStr">
        <is>
          <t>Tokyo Skytree</t>
        </is>
      </c>
      <c r="D58" s="16" t="inlineStr">
        <is>
          <t>The Sumida Hokusai Museum</t>
        </is>
      </c>
      <c r="E58" s="93" t="n">
        <v>1.79</v>
      </c>
      <c r="F58" s="16" t="n">
        <v>25</v>
      </c>
      <c r="G58" s="16" t="inlineStr">
        <is>
          <t>A pie</t>
        </is>
      </c>
      <c r="H58" s="16" t="inlineStr">
        <is>
          <t>Mismo cluster</t>
        </is>
      </c>
      <c r="I58" s="16" t="inlineStr">
        <is>
          <t>Estimación geográfica; validar ruta real</t>
        </is>
      </c>
    </row>
    <row r="59" ht="44" customHeight="1">
      <c r="A59" s="16" t="inlineStr">
        <is>
          <t>JP-020</t>
        </is>
      </c>
      <c r="B59" s="16" t="inlineStr">
        <is>
          <t>JP-053</t>
        </is>
      </c>
      <c r="C59" s="16" t="inlineStr">
        <is>
          <t>The Sumida Hokusai Museum</t>
        </is>
      </c>
      <c r="D59" s="16" t="inlineStr">
        <is>
          <t>Edo-Tokyo Museum</t>
        </is>
      </c>
      <c r="E59" s="93" t="n">
        <v>0.34</v>
      </c>
      <c r="F59" s="16" t="n">
        <v>5</v>
      </c>
      <c r="G59" s="16" t="inlineStr">
        <is>
          <t>A pie</t>
        </is>
      </c>
      <c r="H59" s="16" t="inlineStr">
        <is>
          <t>Cercano</t>
        </is>
      </c>
      <c r="I59" s="16" t="inlineStr">
        <is>
          <t>Estimación geográfica; validar ruta real</t>
        </is>
      </c>
    </row>
    <row r="60" ht="44" customHeight="1">
      <c r="A60" s="16" t="inlineStr">
        <is>
          <t>JP-020</t>
        </is>
      </c>
      <c r="B60" s="16" t="inlineStr">
        <is>
          <t>JP-017</t>
        </is>
      </c>
      <c r="C60" s="16" t="inlineStr">
        <is>
          <t>The Sumida Hokusai Museum</t>
        </is>
      </c>
      <c r="D60" s="16" t="inlineStr">
        <is>
          <t>Asakusa Culture Tourist Information Center</t>
        </is>
      </c>
      <c r="E60" s="93" t="n">
        <v>1.64</v>
      </c>
      <c r="F60" s="16" t="n">
        <v>23</v>
      </c>
      <c r="G60" s="16" t="inlineStr">
        <is>
          <t>A pie</t>
        </is>
      </c>
      <c r="H60" s="16" t="inlineStr">
        <is>
          <t>Cercano</t>
        </is>
      </c>
      <c r="I60" s="16" t="inlineStr">
        <is>
          <t>Estimación geográfica; validar ruta real</t>
        </is>
      </c>
    </row>
    <row r="61" ht="44" customHeight="1">
      <c r="A61" s="16" t="inlineStr">
        <is>
          <t>JP-020</t>
        </is>
      </c>
      <c r="B61" s="16" t="inlineStr">
        <is>
          <t>JP-019</t>
        </is>
      </c>
      <c r="C61" s="16" t="inlineStr">
        <is>
          <t>The Sumida Hokusai Museum</t>
        </is>
      </c>
      <c r="D61" s="16" t="inlineStr">
        <is>
          <t>Tokyo Skytree</t>
        </is>
      </c>
      <c r="E61" s="93" t="n">
        <v>1.79</v>
      </c>
      <c r="F61" s="16" t="n">
        <v>25</v>
      </c>
      <c r="G61" s="16" t="inlineStr">
        <is>
          <t>A pie</t>
        </is>
      </c>
      <c r="H61" s="16" t="inlineStr">
        <is>
          <t>Mismo cluster</t>
        </is>
      </c>
      <c r="I61" s="16" t="inlineStr">
        <is>
          <t>Estimación geográfica; validar ruta real</t>
        </is>
      </c>
    </row>
    <row r="62" ht="44" customHeight="1">
      <c r="A62" s="16" t="inlineStr">
        <is>
          <t>JP-021</t>
        </is>
      </c>
      <c r="B62" s="16" t="inlineStr">
        <is>
          <t>JP-022</t>
        </is>
      </c>
      <c r="C62" s="16" t="inlineStr">
        <is>
          <t>Tokyo National Museum</t>
        </is>
      </c>
      <c r="D62" s="16" t="inlineStr">
        <is>
          <t>Ameyoko</t>
        </is>
      </c>
      <c r="E62" s="93" t="n">
        <v>0.97</v>
      </c>
      <c r="F62" s="16" t="n">
        <v>14</v>
      </c>
      <c r="G62" s="16" t="inlineStr">
        <is>
          <t>A pie</t>
        </is>
      </c>
      <c r="H62" s="16" t="inlineStr">
        <is>
          <t>Mismo cluster</t>
        </is>
      </c>
      <c r="I62" s="16" t="inlineStr">
        <is>
          <t>Estimación geográfica; validar ruta real</t>
        </is>
      </c>
    </row>
    <row r="63" ht="44" customHeight="1">
      <c r="A63" s="16" t="inlineStr">
        <is>
          <t>JP-021</t>
        </is>
      </c>
      <c r="B63" s="16" t="inlineStr">
        <is>
          <t>JP-018</t>
        </is>
      </c>
      <c r="C63" s="16" t="inlineStr">
        <is>
          <t>Tokyo National Museum</t>
        </is>
      </c>
      <c r="D63" s="16" t="inlineStr">
        <is>
          <t>Kappabashi Kitchen Town</t>
        </is>
      </c>
      <c r="E63" s="93" t="n">
        <v>1.14</v>
      </c>
      <c r="F63" s="16" t="n">
        <v>16</v>
      </c>
      <c r="G63" s="16" t="inlineStr">
        <is>
          <t>A pie</t>
        </is>
      </c>
      <c r="H63" s="16" t="inlineStr">
        <is>
          <t>Cercano</t>
        </is>
      </c>
      <c r="I63" s="16" t="inlineStr">
        <is>
          <t>Estimación geográfica; validar ruta real</t>
        </is>
      </c>
    </row>
    <row r="64" ht="44" customHeight="1">
      <c r="A64" s="16" t="inlineStr">
        <is>
          <t>JP-021</t>
        </is>
      </c>
      <c r="B64" s="16" t="inlineStr">
        <is>
          <t>JP-023</t>
        </is>
      </c>
      <c r="C64" s="16" t="inlineStr">
        <is>
          <t>Tokyo National Museum</t>
        </is>
      </c>
      <c r="D64" s="16" t="inlineStr">
        <is>
          <t>Yanaka Ginza and cemetery lanes</t>
        </is>
      </c>
      <c r="E64" s="93" t="n">
        <v>1.3</v>
      </c>
      <c r="F64" s="16" t="n">
        <v>18</v>
      </c>
      <c r="G64" s="16" t="inlineStr">
        <is>
          <t>A pie</t>
        </is>
      </c>
      <c r="H64" s="16" t="inlineStr">
        <is>
          <t>Mismo cluster</t>
        </is>
      </c>
      <c r="I64" s="16" t="inlineStr">
        <is>
          <t>Estimación geográfica; validar ruta real</t>
        </is>
      </c>
    </row>
    <row r="65" ht="44" customHeight="1">
      <c r="A65" s="16" t="inlineStr">
        <is>
          <t>JP-022</t>
        </is>
      </c>
      <c r="B65" s="16" t="inlineStr">
        <is>
          <t>JP-021</t>
        </is>
      </c>
      <c r="C65" s="16" t="inlineStr">
        <is>
          <t>Ameyoko</t>
        </is>
      </c>
      <c r="D65" s="16" t="inlineStr">
        <is>
          <t>Tokyo National Museum</t>
        </is>
      </c>
      <c r="E65" s="93" t="n">
        <v>0.97</v>
      </c>
      <c r="F65" s="16" t="n">
        <v>14</v>
      </c>
      <c r="G65" s="16" t="inlineStr">
        <is>
          <t>A pie</t>
        </is>
      </c>
      <c r="H65" s="16" t="inlineStr">
        <is>
          <t>Mismo cluster</t>
        </is>
      </c>
      <c r="I65" s="16" t="inlineStr">
        <is>
          <t>Estimación geográfica; validar ruta real</t>
        </is>
      </c>
    </row>
    <row r="66" ht="44" customHeight="1">
      <c r="A66" s="16" t="inlineStr">
        <is>
          <t>JP-022</t>
        </is>
      </c>
      <c r="B66" s="16" t="inlineStr">
        <is>
          <t>JP-027</t>
        </is>
      </c>
      <c r="C66" s="16" t="inlineStr">
        <is>
          <t>Ameyoko</t>
        </is>
      </c>
      <c r="D66" s="16" t="inlineStr">
        <is>
          <t>Kanda Myojin</t>
        </is>
      </c>
      <c r="E66" s="93" t="n">
        <v>1.1</v>
      </c>
      <c r="F66" s="16" t="n">
        <v>15</v>
      </c>
      <c r="G66" s="16" t="inlineStr">
        <is>
          <t>A pie</t>
        </is>
      </c>
      <c r="H66" s="16" t="inlineStr">
        <is>
          <t>Cercano</t>
        </is>
      </c>
      <c r="I66" s="16" t="inlineStr">
        <is>
          <t>Estimación geográfica; validar ruta real</t>
        </is>
      </c>
    </row>
    <row r="67" ht="44" customHeight="1">
      <c r="A67" s="16" t="inlineStr">
        <is>
          <t>JP-022</t>
        </is>
      </c>
      <c r="B67" s="16" t="inlineStr">
        <is>
          <t>JP-026</t>
        </is>
      </c>
      <c r="C67" s="16" t="inlineStr">
        <is>
          <t>Ameyoko</t>
        </is>
      </c>
      <c r="D67" s="16" t="inlineStr">
        <is>
          <t>Retro game hunt: Super Potato + Mandarake</t>
        </is>
      </c>
      <c r="E67" s="93" t="n">
        <v>1.12</v>
      </c>
      <c r="F67" s="16" t="n">
        <v>16</v>
      </c>
      <c r="G67" s="16" t="inlineStr">
        <is>
          <t>A pie</t>
        </is>
      </c>
      <c r="H67" s="16" t="inlineStr">
        <is>
          <t>Cercano</t>
        </is>
      </c>
      <c r="I67" s="16" t="inlineStr">
        <is>
          <t>Estimación geográfica; validar ruta real</t>
        </is>
      </c>
    </row>
    <row r="68" ht="44" customHeight="1">
      <c r="A68" s="16" t="inlineStr">
        <is>
          <t>JP-023</t>
        </is>
      </c>
      <c r="B68" s="16" t="inlineStr">
        <is>
          <t>JP-024</t>
        </is>
      </c>
      <c r="C68" s="16" t="inlineStr">
        <is>
          <t>Yanaka Ginza and cemetery lanes</t>
        </is>
      </c>
      <c r="D68" s="16" t="inlineStr">
        <is>
          <t>Nezu Shrine</t>
        </is>
      </c>
      <c r="E68" s="93" t="n">
        <v>0.97</v>
      </c>
      <c r="F68" s="16" t="n">
        <v>14</v>
      </c>
      <c r="G68" s="16" t="inlineStr">
        <is>
          <t>A pie</t>
        </is>
      </c>
      <c r="H68" s="16" t="inlineStr">
        <is>
          <t>Mismo cluster</t>
        </is>
      </c>
      <c r="I68" s="16" t="inlineStr">
        <is>
          <t>Estimación geográfica; validar ruta real</t>
        </is>
      </c>
    </row>
    <row r="69" ht="44" customHeight="1">
      <c r="A69" s="16" t="inlineStr">
        <is>
          <t>JP-023</t>
        </is>
      </c>
      <c r="B69" s="16" t="inlineStr">
        <is>
          <t>JP-021</t>
        </is>
      </c>
      <c r="C69" s="16" t="inlineStr">
        <is>
          <t>Yanaka Ginza and cemetery lanes</t>
        </is>
      </c>
      <c r="D69" s="16" t="inlineStr">
        <is>
          <t>Tokyo National Museum</t>
        </is>
      </c>
      <c r="E69" s="93" t="n">
        <v>1.3</v>
      </c>
      <c r="F69" s="16" t="n">
        <v>18</v>
      </c>
      <c r="G69" s="16" t="inlineStr">
        <is>
          <t>A pie</t>
        </is>
      </c>
      <c r="H69" s="16" t="inlineStr">
        <is>
          <t>Mismo cluster</t>
        </is>
      </c>
      <c r="I69" s="16" t="inlineStr">
        <is>
          <t>Estimación geográfica; validar ruta real</t>
        </is>
      </c>
    </row>
    <row r="70" ht="44" customHeight="1">
      <c r="A70" s="16" t="inlineStr">
        <is>
          <t>JP-023</t>
        </is>
      </c>
      <c r="B70" s="16" t="inlineStr">
        <is>
          <t>JP-022</t>
        </is>
      </c>
      <c r="C70" s="16" t="inlineStr">
        <is>
          <t>Yanaka Ginza and cemetery lanes</t>
        </is>
      </c>
      <c r="D70" s="16" t="inlineStr">
        <is>
          <t>Ameyoko</t>
        </is>
      </c>
      <c r="E70" s="93" t="n">
        <v>2.05</v>
      </c>
      <c r="F70" s="16" t="n">
        <v>16</v>
      </c>
      <c r="G70" s="16" t="inlineStr">
        <is>
          <t>Transporte local</t>
        </is>
      </c>
      <c r="H70" s="16" t="inlineStr">
        <is>
          <t>Mismo cluster</t>
        </is>
      </c>
      <c r="I70" s="16" t="inlineStr">
        <is>
          <t>Estimación geográfica; validar ruta real</t>
        </is>
      </c>
    </row>
    <row r="71" ht="44" customHeight="1">
      <c r="A71" s="16" t="inlineStr">
        <is>
          <t>JP-024</t>
        </is>
      </c>
      <c r="B71" s="16" t="inlineStr">
        <is>
          <t>JP-023</t>
        </is>
      </c>
      <c r="C71" s="16" t="inlineStr">
        <is>
          <t>Nezu Shrine</t>
        </is>
      </c>
      <c r="D71" s="16" t="inlineStr">
        <is>
          <t>Yanaka Ginza and cemetery lanes</t>
        </is>
      </c>
      <c r="E71" s="93" t="n">
        <v>0.97</v>
      </c>
      <c r="F71" s="16" t="n">
        <v>14</v>
      </c>
      <c r="G71" s="16" t="inlineStr">
        <is>
          <t>A pie</t>
        </is>
      </c>
      <c r="H71" s="16" t="inlineStr">
        <is>
          <t>Mismo cluster</t>
        </is>
      </c>
      <c r="I71" s="16" t="inlineStr">
        <is>
          <t>Estimación geográfica; validar ruta real</t>
        </is>
      </c>
    </row>
    <row r="72" ht="44" customHeight="1">
      <c r="A72" s="16" t="inlineStr">
        <is>
          <t>JP-024</t>
        </is>
      </c>
      <c r="B72" s="16" t="inlineStr">
        <is>
          <t>JP-021</t>
        </is>
      </c>
      <c r="C72" s="16" t="inlineStr">
        <is>
          <t>Nezu Shrine</t>
        </is>
      </c>
      <c r="D72" s="16" t="inlineStr">
        <is>
          <t>Tokyo National Museum</t>
        </is>
      </c>
      <c r="E72" s="93" t="n">
        <v>1.42</v>
      </c>
      <c r="F72" s="16" t="n">
        <v>20</v>
      </c>
      <c r="G72" s="16" t="inlineStr">
        <is>
          <t>A pie</t>
        </is>
      </c>
      <c r="H72" s="16" t="inlineStr">
        <is>
          <t>Mismo cluster</t>
        </is>
      </c>
      <c r="I72" s="16" t="inlineStr">
        <is>
          <t>Estimación geográfica; validar ruta real</t>
        </is>
      </c>
    </row>
    <row r="73" ht="44" customHeight="1">
      <c r="A73" s="16" t="inlineStr">
        <is>
          <t>JP-024</t>
        </is>
      </c>
      <c r="B73" s="16" t="inlineStr">
        <is>
          <t>JP-022</t>
        </is>
      </c>
      <c r="C73" s="16" t="inlineStr">
        <is>
          <t>Nezu Shrine</t>
        </is>
      </c>
      <c r="D73" s="16" t="inlineStr">
        <is>
          <t>Ameyoko</t>
        </is>
      </c>
      <c r="E73" s="93" t="n">
        <v>1.68</v>
      </c>
      <c r="F73" s="16" t="n">
        <v>23</v>
      </c>
      <c r="G73" s="16" t="inlineStr">
        <is>
          <t>A pie</t>
        </is>
      </c>
      <c r="H73" s="16" t="inlineStr">
        <is>
          <t>Mismo cluster</t>
        </is>
      </c>
      <c r="I73" s="16" t="inlineStr">
        <is>
          <t>Estimación geográfica; validar ruta real</t>
        </is>
      </c>
    </row>
    <row r="74" ht="44" customHeight="1">
      <c r="A74" s="16" t="inlineStr">
        <is>
          <t>JP-025</t>
        </is>
      </c>
      <c r="B74" s="16" t="inlineStr">
        <is>
          <t>JP-026</t>
        </is>
      </c>
      <c r="C74" s="16" t="inlineStr">
        <is>
          <t>Akihabara Electric Town</t>
        </is>
      </c>
      <c r="D74" s="16" t="inlineStr">
        <is>
          <t>Retro game hunt: Super Potato + Mandarake</t>
        </is>
      </c>
      <c r="E74" s="93" t="n">
        <v>0.28</v>
      </c>
      <c r="F74" s="16" t="n">
        <v>4</v>
      </c>
      <c r="G74" s="16" t="inlineStr">
        <is>
          <t>A pie</t>
        </is>
      </c>
      <c r="H74" s="16" t="inlineStr">
        <is>
          <t>Mismo cluster</t>
        </is>
      </c>
      <c r="I74" s="16" t="inlineStr">
        <is>
          <t>Estimación geográfica; validar ruta real</t>
        </is>
      </c>
    </row>
    <row r="75" ht="44" customHeight="1">
      <c r="A75" s="16" t="inlineStr">
        <is>
          <t>JP-025</t>
        </is>
      </c>
      <c r="B75" s="16" t="inlineStr">
        <is>
          <t>JP-027</t>
        </is>
      </c>
      <c r="C75" s="16" t="inlineStr">
        <is>
          <t>Akihabara Electric Town</t>
        </is>
      </c>
      <c r="D75" s="16" t="inlineStr">
        <is>
          <t>Kanda Myojin</t>
        </is>
      </c>
      <c r="E75" s="93" t="n">
        <v>0.62</v>
      </c>
      <c r="F75" s="16" t="n">
        <v>9</v>
      </c>
      <c r="G75" s="16" t="inlineStr">
        <is>
          <t>A pie</t>
        </is>
      </c>
      <c r="H75" s="16" t="inlineStr">
        <is>
          <t>Mismo cluster</t>
        </is>
      </c>
      <c r="I75" s="16" t="inlineStr">
        <is>
          <t>Estimación geográfica; validar ruta real</t>
        </is>
      </c>
    </row>
    <row r="76" ht="44" customHeight="1">
      <c r="A76" s="16" t="inlineStr">
        <is>
          <t>JP-025</t>
        </is>
      </c>
      <c r="B76" s="16" t="inlineStr">
        <is>
          <t>JP-022</t>
        </is>
      </c>
      <c r="C76" s="16" t="inlineStr">
        <is>
          <t>Akihabara Electric Town</t>
        </is>
      </c>
      <c r="D76" s="16" t="inlineStr">
        <is>
          <t>Ameyoko</t>
        </is>
      </c>
      <c r="E76" s="93" t="n">
        <v>1.32</v>
      </c>
      <c r="F76" s="16" t="n">
        <v>18</v>
      </c>
      <c r="G76" s="16" t="inlineStr">
        <is>
          <t>A pie</t>
        </is>
      </c>
      <c r="H76" s="16" t="inlineStr">
        <is>
          <t>Cercano</t>
        </is>
      </c>
      <c r="I76" s="16" t="inlineStr">
        <is>
          <t>Estimación geográfica; validar ruta real</t>
        </is>
      </c>
    </row>
    <row r="77" ht="44" customHeight="1">
      <c r="A77" s="16" t="inlineStr">
        <is>
          <t>JP-026</t>
        </is>
      </c>
      <c r="B77" s="16" t="inlineStr">
        <is>
          <t>JP-025</t>
        </is>
      </c>
      <c r="C77" s="16" t="inlineStr">
        <is>
          <t>Retro game hunt: Super Potato + Mandarake</t>
        </is>
      </c>
      <c r="D77" s="16" t="inlineStr">
        <is>
          <t>Akihabara Electric Town</t>
        </is>
      </c>
      <c r="E77" s="93" t="n">
        <v>0.28</v>
      </c>
      <c r="F77" s="16" t="n">
        <v>4</v>
      </c>
      <c r="G77" s="16" t="inlineStr">
        <is>
          <t>A pie</t>
        </is>
      </c>
      <c r="H77" s="16" t="inlineStr">
        <is>
          <t>Mismo cluster</t>
        </is>
      </c>
      <c r="I77" s="16" t="inlineStr">
        <is>
          <t>Estimación geográfica; validar ruta real</t>
        </is>
      </c>
    </row>
    <row r="78" ht="44" customHeight="1">
      <c r="A78" s="16" t="inlineStr">
        <is>
          <t>JP-026</t>
        </is>
      </c>
      <c r="B78" s="16" t="inlineStr">
        <is>
          <t>JP-027</t>
        </is>
      </c>
      <c r="C78" s="16" t="inlineStr">
        <is>
          <t>Retro game hunt: Super Potato + Mandarake</t>
        </is>
      </c>
      <c r="D78" s="16" t="inlineStr">
        <is>
          <t>Kanda Myojin</t>
        </is>
      </c>
      <c r="E78" s="93" t="n">
        <v>0.36</v>
      </c>
      <c r="F78" s="16" t="n">
        <v>5</v>
      </c>
      <c r="G78" s="16" t="inlineStr">
        <is>
          <t>A pie</t>
        </is>
      </c>
      <c r="H78" s="16" t="inlineStr">
        <is>
          <t>Mismo cluster</t>
        </is>
      </c>
      <c r="I78" s="16" t="inlineStr">
        <is>
          <t>Estimación geográfica; validar ruta real</t>
        </is>
      </c>
    </row>
    <row r="79" ht="44" customHeight="1">
      <c r="A79" s="16" t="inlineStr">
        <is>
          <t>JP-026</t>
        </is>
      </c>
      <c r="B79" s="16" t="inlineStr">
        <is>
          <t>JP-022</t>
        </is>
      </c>
      <c r="C79" s="16" t="inlineStr">
        <is>
          <t>Retro game hunt: Super Potato + Mandarake</t>
        </is>
      </c>
      <c r="D79" s="16" t="inlineStr">
        <is>
          <t>Ameyoko</t>
        </is>
      </c>
      <c r="E79" s="93" t="n">
        <v>1.12</v>
      </c>
      <c r="F79" s="16" t="n">
        <v>16</v>
      </c>
      <c r="G79" s="16" t="inlineStr">
        <is>
          <t>A pie</t>
        </is>
      </c>
      <c r="H79" s="16" t="inlineStr">
        <is>
          <t>Cercano</t>
        </is>
      </c>
      <c r="I79" s="16" t="inlineStr">
        <is>
          <t>Estimación geográfica; validar ruta real</t>
        </is>
      </c>
    </row>
    <row r="80" ht="44" customHeight="1">
      <c r="A80" s="16" t="inlineStr">
        <is>
          <t>JP-027</t>
        </is>
      </c>
      <c r="B80" s="16" t="inlineStr">
        <is>
          <t>JP-026</t>
        </is>
      </c>
      <c r="C80" s="16" t="inlineStr">
        <is>
          <t>Kanda Myojin</t>
        </is>
      </c>
      <c r="D80" s="16" t="inlineStr">
        <is>
          <t>Retro game hunt: Super Potato + Mandarake</t>
        </is>
      </c>
      <c r="E80" s="93" t="n">
        <v>0.36</v>
      </c>
      <c r="F80" s="16" t="n">
        <v>5</v>
      </c>
      <c r="G80" s="16" t="inlineStr">
        <is>
          <t>A pie</t>
        </is>
      </c>
      <c r="H80" s="16" t="inlineStr">
        <is>
          <t>Mismo cluster</t>
        </is>
      </c>
      <c r="I80" s="16" t="inlineStr">
        <is>
          <t>Estimación geográfica; validar ruta real</t>
        </is>
      </c>
    </row>
    <row r="81" ht="44" customHeight="1">
      <c r="A81" s="16" t="inlineStr">
        <is>
          <t>JP-027</t>
        </is>
      </c>
      <c r="B81" s="16" t="inlineStr">
        <is>
          <t>JP-025</t>
        </is>
      </c>
      <c r="C81" s="16" t="inlineStr">
        <is>
          <t>Kanda Myojin</t>
        </is>
      </c>
      <c r="D81" s="16" t="inlineStr">
        <is>
          <t>Akihabara Electric Town</t>
        </is>
      </c>
      <c r="E81" s="93" t="n">
        <v>0.62</v>
      </c>
      <c r="F81" s="16" t="n">
        <v>9</v>
      </c>
      <c r="G81" s="16" t="inlineStr">
        <is>
          <t>A pie</t>
        </is>
      </c>
      <c r="H81" s="16" t="inlineStr">
        <is>
          <t>Mismo cluster</t>
        </is>
      </c>
      <c r="I81" s="16" t="inlineStr">
        <is>
          <t>Estimación geográfica; validar ruta real</t>
        </is>
      </c>
    </row>
    <row r="82" ht="44" customHeight="1">
      <c r="A82" s="16" t="inlineStr">
        <is>
          <t>JP-027</t>
        </is>
      </c>
      <c r="B82" s="16" t="inlineStr">
        <is>
          <t>JP-022</t>
        </is>
      </c>
      <c r="C82" s="16" t="inlineStr">
        <is>
          <t>Kanda Myojin</t>
        </is>
      </c>
      <c r="D82" s="16" t="inlineStr">
        <is>
          <t>Ameyoko</t>
        </is>
      </c>
      <c r="E82" s="93" t="n">
        <v>1.1</v>
      </c>
      <c r="F82" s="16" t="n">
        <v>15</v>
      </c>
      <c r="G82" s="16" t="inlineStr">
        <is>
          <t>A pie</t>
        </is>
      </c>
      <c r="H82" s="16" t="inlineStr">
        <is>
          <t>Cercano</t>
        </is>
      </c>
      <c r="I82" s="16" t="inlineStr">
        <is>
          <t>Estimación geográfica; validar ruta real</t>
        </is>
      </c>
    </row>
    <row r="83" ht="44" customHeight="1">
      <c r="A83" s="16" t="inlineStr">
        <is>
          <t>JP-028</t>
        </is>
      </c>
      <c r="B83" s="16" t="inlineStr">
        <is>
          <t>JP-027</t>
        </is>
      </c>
      <c r="C83" s="16" t="inlineStr">
        <is>
          <t>Jimbocho Book Town</t>
        </is>
      </c>
      <c r="D83" s="16" t="inlineStr">
        <is>
          <t>Kanda Myojin</t>
        </is>
      </c>
      <c r="E83" s="93" t="n">
        <v>1.17</v>
      </c>
      <c r="F83" s="16" t="n">
        <v>16</v>
      </c>
      <c r="G83" s="16" t="inlineStr">
        <is>
          <t>A pie</t>
        </is>
      </c>
      <c r="H83" s="16" t="inlineStr">
        <is>
          <t>Cercano</t>
        </is>
      </c>
      <c r="I83" s="16" t="inlineStr">
        <is>
          <t>Estimación geográfica; validar ruta real</t>
        </is>
      </c>
    </row>
    <row r="84" ht="44" customHeight="1">
      <c r="A84" s="16" t="inlineStr">
        <is>
          <t>JP-028</t>
        </is>
      </c>
      <c r="B84" s="16" t="inlineStr">
        <is>
          <t>JP-029</t>
        </is>
      </c>
      <c r="C84" s="16" t="inlineStr">
        <is>
          <t>Jimbocho Book Town</t>
        </is>
      </c>
      <c r="D84" s="16" t="inlineStr">
        <is>
          <t>Imperial Palace East Gardens</t>
        </is>
      </c>
      <c r="E84" s="93" t="n">
        <v>1.24</v>
      </c>
      <c r="F84" s="16" t="n">
        <v>17</v>
      </c>
      <c r="G84" s="16" t="inlineStr">
        <is>
          <t>A pie</t>
        </is>
      </c>
      <c r="H84" s="16" t="inlineStr">
        <is>
          <t>Cercano</t>
        </is>
      </c>
      <c r="I84" s="16" t="inlineStr">
        <is>
          <t>Estimación geográfica; validar ruta real</t>
        </is>
      </c>
    </row>
    <row r="85" ht="44" customHeight="1">
      <c r="A85" s="16" t="inlineStr">
        <is>
          <t>JP-028</t>
        </is>
      </c>
      <c r="B85" s="16" t="inlineStr">
        <is>
          <t>JP-026</t>
        </is>
      </c>
      <c r="C85" s="16" t="inlineStr">
        <is>
          <t>Jimbocho Book Town</t>
        </is>
      </c>
      <c r="D85" s="16" t="inlineStr">
        <is>
          <t>Retro game hunt: Super Potato + Mandarake</t>
        </is>
      </c>
      <c r="E85" s="93" t="n">
        <v>1.36</v>
      </c>
      <c r="F85" s="16" t="n">
        <v>19</v>
      </c>
      <c r="G85" s="16" t="inlineStr">
        <is>
          <t>A pie</t>
        </is>
      </c>
      <c r="H85" s="16" t="inlineStr">
        <is>
          <t>Cercano</t>
        </is>
      </c>
      <c r="I85" s="16" t="inlineStr">
        <is>
          <t>Estimación geográfica; validar ruta real</t>
        </is>
      </c>
    </row>
    <row r="86" ht="44" customHeight="1">
      <c r="A86" s="16" t="inlineStr">
        <is>
          <t>JP-029</t>
        </is>
      </c>
      <c r="B86" s="16" t="inlineStr">
        <is>
          <t>JP-028</t>
        </is>
      </c>
      <c r="C86" s="16" t="inlineStr">
        <is>
          <t>Imperial Palace East Gardens</t>
        </is>
      </c>
      <c r="D86" s="16" t="inlineStr">
        <is>
          <t>Jimbocho Book Town</t>
        </is>
      </c>
      <c r="E86" s="93" t="n">
        <v>1.24</v>
      </c>
      <c r="F86" s="16" t="n">
        <v>17</v>
      </c>
      <c r="G86" s="16" t="inlineStr">
        <is>
          <t>A pie</t>
        </is>
      </c>
      <c r="H86" s="16" t="inlineStr">
        <is>
          <t>Cercano</t>
        </is>
      </c>
      <c r="I86" s="16" t="inlineStr">
        <is>
          <t>Estimación geográfica; validar ruta real</t>
        </is>
      </c>
    </row>
    <row r="87" ht="44" customHeight="1">
      <c r="A87" s="16" t="inlineStr">
        <is>
          <t>JP-029</t>
        </is>
      </c>
      <c r="B87" s="16" t="inlineStr">
        <is>
          <t>JP-030</t>
        </is>
      </c>
      <c r="C87" s="16" t="inlineStr">
        <is>
          <t>Imperial Palace East Gardens</t>
        </is>
      </c>
      <c r="D87" s="16" t="inlineStr">
        <is>
          <t>Tokyo Station Marunouchi Building</t>
        </is>
      </c>
      <c r="E87" s="93" t="n">
        <v>1.37</v>
      </c>
      <c r="F87" s="16" t="n">
        <v>19</v>
      </c>
      <c r="G87" s="16" t="inlineStr">
        <is>
          <t>A pie</t>
        </is>
      </c>
      <c r="H87" s="16" t="inlineStr">
        <is>
          <t>Mismo cluster</t>
        </is>
      </c>
      <c r="I87" s="16" t="inlineStr">
        <is>
          <t>Estimación geográfica; validar ruta real</t>
        </is>
      </c>
    </row>
    <row r="88" ht="44" customHeight="1">
      <c r="A88" s="16" t="inlineStr">
        <is>
          <t>JP-029</t>
        </is>
      </c>
      <c r="B88" s="16" t="inlineStr">
        <is>
          <t>JP-015</t>
        </is>
      </c>
      <c r="C88" s="16" t="inlineStr">
        <is>
          <t>Imperial Palace East Gardens</t>
        </is>
      </c>
      <c r="D88" s="16" t="inlineStr">
        <is>
          <t>Kagurazaka backstreets</t>
        </is>
      </c>
      <c r="E88" s="93" t="n">
        <v>2.14</v>
      </c>
      <c r="F88" s="16" t="n">
        <v>17</v>
      </c>
      <c r="G88" s="16" t="inlineStr">
        <is>
          <t>Transporte local</t>
        </is>
      </c>
      <c r="H88" s="16" t="inlineStr">
        <is>
          <t>Cercano</t>
        </is>
      </c>
      <c r="I88" s="16" t="inlineStr">
        <is>
          <t>Estimación geográfica; validar ruta real</t>
        </is>
      </c>
    </row>
    <row r="89" ht="44" customHeight="1">
      <c r="A89" s="16" t="inlineStr">
        <is>
          <t>JP-030</t>
        </is>
      </c>
      <c r="B89" s="16" t="inlineStr">
        <is>
          <t>JP-029</t>
        </is>
      </c>
      <c r="C89" s="16" t="inlineStr">
        <is>
          <t>Tokyo Station Marunouchi Building</t>
        </is>
      </c>
      <c r="D89" s="16" t="inlineStr">
        <is>
          <t>Imperial Palace East Gardens</t>
        </is>
      </c>
      <c r="E89" s="93" t="n">
        <v>1.37</v>
      </c>
      <c r="F89" s="16" t="n">
        <v>19</v>
      </c>
      <c r="G89" s="16" t="inlineStr">
        <is>
          <t>A pie</t>
        </is>
      </c>
      <c r="H89" s="16" t="inlineStr">
        <is>
          <t>Mismo cluster</t>
        </is>
      </c>
      <c r="I89" s="16" t="inlineStr">
        <is>
          <t>Estimación geográfica; validar ruta real</t>
        </is>
      </c>
    </row>
    <row r="90" ht="44" customHeight="1">
      <c r="A90" s="16" t="inlineStr">
        <is>
          <t>JP-030</t>
        </is>
      </c>
      <c r="B90" s="16" t="inlineStr">
        <is>
          <t>JP-032</t>
        </is>
      </c>
      <c r="C90" s="16" t="inlineStr">
        <is>
          <t>Tokyo Station Marunouchi Building</t>
        </is>
      </c>
      <c r="D90" s="16" t="inlineStr">
        <is>
          <t>Tsukiji Outer Market</t>
        </is>
      </c>
      <c r="E90" s="93" t="n">
        <v>1.78</v>
      </c>
      <c r="F90" s="16" t="n">
        <v>25</v>
      </c>
      <c r="G90" s="16" t="inlineStr">
        <is>
          <t>A pie</t>
        </is>
      </c>
      <c r="H90" s="16" t="inlineStr">
        <is>
          <t>Mismo cluster</t>
        </is>
      </c>
      <c r="I90" s="16" t="inlineStr">
        <is>
          <t>Estimación geográfica; validar ruta real</t>
        </is>
      </c>
    </row>
    <row r="91" ht="44" customHeight="1">
      <c r="A91" s="16" t="inlineStr">
        <is>
          <t>JP-030</t>
        </is>
      </c>
      <c r="B91" s="16" t="inlineStr">
        <is>
          <t>JP-028</t>
        </is>
      </c>
      <c r="C91" s="16" t="inlineStr">
        <is>
          <t>Tokyo Station Marunouchi Building</t>
        </is>
      </c>
      <c r="D91" s="16" t="inlineStr">
        <is>
          <t>Jimbocho Book Town</t>
        </is>
      </c>
      <c r="E91" s="93" t="n">
        <v>1.82</v>
      </c>
      <c r="F91" s="16" t="n">
        <v>15</v>
      </c>
      <c r="G91" s="16" t="inlineStr">
        <is>
          <t>Transporte local</t>
        </is>
      </c>
      <c r="H91" s="16" t="inlineStr">
        <is>
          <t>Cercano</t>
        </is>
      </c>
      <c r="I91" s="16" t="inlineStr">
        <is>
          <t>Estimación geográfica; validar ruta real</t>
        </is>
      </c>
    </row>
    <row r="92" ht="44" customHeight="1">
      <c r="A92" s="16" t="inlineStr">
        <is>
          <t>JP-031</t>
        </is>
      </c>
      <c r="B92" s="16" t="inlineStr">
        <is>
          <t>JP-032</t>
        </is>
      </c>
      <c r="C92" s="16" t="inlineStr">
        <is>
          <t>Hama-rikyu Gardens</t>
        </is>
      </c>
      <c r="D92" s="16" t="inlineStr">
        <is>
          <t>Tsukiji Outer Market</t>
        </is>
      </c>
      <c r="E92" s="93" t="n">
        <v>0.92</v>
      </c>
      <c r="F92" s="16" t="n">
        <v>13</v>
      </c>
      <c r="G92" s="16" t="inlineStr">
        <is>
          <t>A pie</t>
        </is>
      </c>
      <c r="H92" s="16" t="inlineStr">
        <is>
          <t>Mismo cluster</t>
        </is>
      </c>
      <c r="I92" s="16" t="inlineStr">
        <is>
          <t>Estimación geográfica; validar ruta real</t>
        </is>
      </c>
    </row>
    <row r="93" ht="44" customHeight="1">
      <c r="A93" s="16" t="inlineStr">
        <is>
          <t>JP-031</t>
        </is>
      </c>
      <c r="B93" s="16" t="inlineStr">
        <is>
          <t>JP-037</t>
        </is>
      </c>
      <c r="C93" s="16" t="inlineStr">
        <is>
          <t>Hama-rikyu Gardens</t>
        </is>
      </c>
      <c r="D93" s="16" t="inlineStr">
        <is>
          <t>Zōjō-ji + Tokyo Tower view</t>
        </is>
      </c>
      <c r="E93" s="93" t="n">
        <v>1.39</v>
      </c>
      <c r="F93" s="16" t="n">
        <v>20</v>
      </c>
      <c r="G93" s="16" t="inlineStr">
        <is>
          <t>A pie</t>
        </is>
      </c>
      <c r="H93" s="16" t="inlineStr">
        <is>
          <t>Cercano</t>
        </is>
      </c>
      <c r="I93" s="16" t="inlineStr">
        <is>
          <t>Estimación geográfica; validar ruta real</t>
        </is>
      </c>
    </row>
    <row r="94" ht="44" customHeight="1">
      <c r="A94" s="16" t="inlineStr">
        <is>
          <t>JP-031</t>
        </is>
      </c>
      <c r="B94" s="16" t="inlineStr">
        <is>
          <t>JP-033</t>
        </is>
      </c>
      <c r="C94" s="16" t="inlineStr">
        <is>
          <t>Hama-rikyu Gardens</t>
        </is>
      </c>
      <c r="D94" s="16" t="inlineStr">
        <is>
          <t>teamLab Borderless</t>
        </is>
      </c>
      <c r="E94" s="93" t="n">
        <v>2.08</v>
      </c>
      <c r="F94" s="16" t="n">
        <v>17</v>
      </c>
      <c r="G94" s="16" t="inlineStr">
        <is>
          <t>Transporte local</t>
        </is>
      </c>
      <c r="H94" s="16" t="inlineStr">
        <is>
          <t>Cercano</t>
        </is>
      </c>
      <c r="I94" s="16" t="inlineStr">
        <is>
          <t>Estimación geográfica; validar ruta real</t>
        </is>
      </c>
    </row>
    <row r="95" ht="44" customHeight="1">
      <c r="A95" s="16" t="inlineStr">
        <is>
          <t>JP-032</t>
        </is>
      </c>
      <c r="B95" s="16" t="inlineStr">
        <is>
          <t>JP-031</t>
        </is>
      </c>
      <c r="C95" s="16" t="inlineStr">
        <is>
          <t>Tsukiji Outer Market</t>
        </is>
      </c>
      <c r="D95" s="16" t="inlineStr">
        <is>
          <t>Hama-rikyu Gardens</t>
        </is>
      </c>
      <c r="E95" s="93" t="n">
        <v>0.92</v>
      </c>
      <c r="F95" s="16" t="n">
        <v>13</v>
      </c>
      <c r="G95" s="16" t="inlineStr">
        <is>
          <t>A pie</t>
        </is>
      </c>
      <c r="H95" s="16" t="inlineStr">
        <is>
          <t>Mismo cluster</t>
        </is>
      </c>
      <c r="I95" s="16" t="inlineStr">
        <is>
          <t>Estimación geográfica; validar ruta real</t>
        </is>
      </c>
    </row>
    <row r="96" ht="44" customHeight="1">
      <c r="A96" s="16" t="inlineStr">
        <is>
          <t>JP-032</t>
        </is>
      </c>
      <c r="B96" s="16" t="inlineStr">
        <is>
          <t>JP-030</t>
        </is>
      </c>
      <c r="C96" s="16" t="inlineStr">
        <is>
          <t>Tsukiji Outer Market</t>
        </is>
      </c>
      <c r="D96" s="16" t="inlineStr">
        <is>
          <t>Tokyo Station Marunouchi Building</t>
        </is>
      </c>
      <c r="E96" s="93" t="n">
        <v>1.78</v>
      </c>
      <c r="F96" s="16" t="n">
        <v>25</v>
      </c>
      <c r="G96" s="16" t="inlineStr">
        <is>
          <t>A pie</t>
        </is>
      </c>
      <c r="H96" s="16" t="inlineStr">
        <is>
          <t>Mismo cluster</t>
        </is>
      </c>
      <c r="I96" s="16" t="inlineStr">
        <is>
          <t>Estimación geográfica; validar ruta real</t>
        </is>
      </c>
    </row>
    <row r="97" ht="44" customHeight="1">
      <c r="A97" s="16" t="inlineStr">
        <is>
          <t>JP-032</t>
        </is>
      </c>
      <c r="B97" s="16" t="inlineStr">
        <is>
          <t>JP-037</t>
        </is>
      </c>
      <c r="C97" s="16" t="inlineStr">
        <is>
          <t>Tsukiji Outer Market</t>
        </is>
      </c>
      <c r="D97" s="16" t="inlineStr">
        <is>
          <t>Zōjō-ji + Tokyo Tower view</t>
        </is>
      </c>
      <c r="E97" s="93" t="n">
        <v>2.21</v>
      </c>
      <c r="F97" s="16" t="n">
        <v>18</v>
      </c>
      <c r="G97" s="16" t="inlineStr">
        <is>
          <t>Transporte local</t>
        </is>
      </c>
      <c r="H97" s="16" t="inlineStr">
        <is>
          <t>Cercano</t>
        </is>
      </c>
      <c r="I97" s="16" t="inlineStr">
        <is>
          <t>Estimación geográfica; validar ruta real</t>
        </is>
      </c>
    </row>
    <row r="98" ht="44" customHeight="1">
      <c r="A98" s="16" t="inlineStr">
        <is>
          <t>JP-033</t>
        </is>
      </c>
      <c r="B98" s="16" t="inlineStr">
        <is>
          <t>JP-037</t>
        </is>
      </c>
      <c r="C98" s="16" t="inlineStr">
        <is>
          <t>teamLab Borderless</t>
        </is>
      </c>
      <c r="D98" s="16" t="inlineStr">
        <is>
          <t>Zōjō-ji + Tokyo Tower view</t>
        </is>
      </c>
      <c r="E98" s="93" t="n">
        <v>0.78</v>
      </c>
      <c r="F98" s="16" t="n">
        <v>11</v>
      </c>
      <c r="G98" s="16" t="inlineStr">
        <is>
          <t>A pie</t>
        </is>
      </c>
      <c r="H98" s="16" t="inlineStr">
        <is>
          <t>Cercano</t>
        </is>
      </c>
      <c r="I98" s="16" t="inlineStr">
        <is>
          <t>Estimación geográfica; validar ruta real</t>
        </is>
      </c>
    </row>
    <row r="99" ht="44" customHeight="1">
      <c r="A99" s="16" t="inlineStr">
        <is>
          <t>JP-033</t>
        </is>
      </c>
      <c r="B99" s="16" t="inlineStr">
        <is>
          <t>JP-034</t>
        </is>
      </c>
      <c r="C99" s="16" t="inlineStr">
        <is>
          <t>teamLab Borderless</t>
        </is>
      </c>
      <c r="D99" s="16" t="inlineStr">
        <is>
          <t>Mori Art Museum + Tokyo City View</t>
        </is>
      </c>
      <c r="E99" s="93" t="n">
        <v>1.02</v>
      </c>
      <c r="F99" s="16" t="n">
        <v>14</v>
      </c>
      <c r="G99" s="16" t="inlineStr">
        <is>
          <t>A pie</t>
        </is>
      </c>
      <c r="H99" s="16" t="inlineStr">
        <is>
          <t>Mismo cluster</t>
        </is>
      </c>
      <c r="I99" s="16" t="inlineStr">
        <is>
          <t>Estimación geográfica; validar ruta real</t>
        </is>
      </c>
    </row>
    <row r="100" ht="44" customHeight="1">
      <c r="A100" s="16" t="inlineStr">
        <is>
          <t>JP-033</t>
        </is>
      </c>
      <c r="B100" s="16" t="inlineStr">
        <is>
          <t>JP-036</t>
        </is>
      </c>
      <c r="C100" s="16" t="inlineStr">
        <is>
          <t>teamLab Borderless</t>
        </is>
      </c>
      <c r="D100" s="16" t="inlineStr">
        <is>
          <t>21_21 DESIGN SIGHT</t>
        </is>
      </c>
      <c r="E100" s="93" t="n">
        <v>1.21</v>
      </c>
      <c r="F100" s="16" t="n">
        <v>17</v>
      </c>
      <c r="G100" s="16" t="inlineStr">
        <is>
          <t>A pie</t>
        </is>
      </c>
      <c r="H100" s="16" t="inlineStr">
        <is>
          <t>Mismo cluster</t>
        </is>
      </c>
      <c r="I100" s="16" t="inlineStr">
        <is>
          <t>Estimación geográfica; validar ruta real</t>
        </is>
      </c>
    </row>
    <row r="101" ht="44" customHeight="1">
      <c r="A101" s="16" t="inlineStr">
        <is>
          <t>JP-034</t>
        </is>
      </c>
      <c r="B101" s="16" t="inlineStr">
        <is>
          <t>JP-035</t>
        </is>
      </c>
      <c r="C101" s="16" t="inlineStr">
        <is>
          <t>Mori Art Museum + Tokyo City View</t>
        </is>
      </c>
      <c r="D101" s="16" t="inlineStr">
        <is>
          <t>The National Art Center, Tokyo</t>
        </is>
      </c>
      <c r="E101" s="93" t="n">
        <v>0.6</v>
      </c>
      <c r="F101" s="16" t="n">
        <v>8</v>
      </c>
      <c r="G101" s="16" t="inlineStr">
        <is>
          <t>A pie</t>
        </is>
      </c>
      <c r="H101" s="16" t="inlineStr">
        <is>
          <t>Mismo cluster</t>
        </is>
      </c>
      <c r="I101" s="16" t="inlineStr">
        <is>
          <t>Estimación geográfica; validar ruta real</t>
        </is>
      </c>
    </row>
    <row r="102" ht="44" customHeight="1">
      <c r="A102" s="16" t="inlineStr">
        <is>
          <t>JP-034</t>
        </is>
      </c>
      <c r="B102" s="16" t="inlineStr">
        <is>
          <t>JP-036</t>
        </is>
      </c>
      <c r="C102" s="16" t="inlineStr">
        <is>
          <t>Mori Art Museum + Tokyo City View</t>
        </is>
      </c>
      <c r="D102" s="16" t="inlineStr">
        <is>
          <t>21_21 DESIGN SIGHT</t>
        </is>
      </c>
      <c r="E102" s="93" t="n">
        <v>0.79</v>
      </c>
      <c r="F102" s="16" t="n">
        <v>11</v>
      </c>
      <c r="G102" s="16" t="inlineStr">
        <is>
          <t>A pie</t>
        </is>
      </c>
      <c r="H102" s="16" t="inlineStr">
        <is>
          <t>Mismo cluster</t>
        </is>
      </c>
      <c r="I102" s="16" t="inlineStr">
        <is>
          <t>Estimación geográfica; validar ruta real</t>
        </is>
      </c>
    </row>
    <row r="103" ht="44" customHeight="1">
      <c r="A103" s="16" t="inlineStr">
        <is>
          <t>JP-034</t>
        </is>
      </c>
      <c r="B103" s="16" t="inlineStr">
        <is>
          <t>JP-033</t>
        </is>
      </c>
      <c r="C103" s="16" t="inlineStr">
        <is>
          <t>Mori Art Museum + Tokyo City View</t>
        </is>
      </c>
      <c r="D103" s="16" t="inlineStr">
        <is>
          <t>teamLab Borderless</t>
        </is>
      </c>
      <c r="E103" s="93" t="n">
        <v>1.02</v>
      </c>
      <c r="F103" s="16" t="n">
        <v>14</v>
      </c>
      <c r="G103" s="16" t="inlineStr">
        <is>
          <t>A pie</t>
        </is>
      </c>
      <c r="H103" s="16" t="inlineStr">
        <is>
          <t>Mismo cluster</t>
        </is>
      </c>
      <c r="I103" s="16" t="inlineStr">
        <is>
          <t>Estimación geográfica; validar ruta real</t>
        </is>
      </c>
    </row>
    <row r="104" ht="44" customHeight="1">
      <c r="A104" s="16" t="inlineStr">
        <is>
          <t>JP-035</t>
        </is>
      </c>
      <c r="B104" s="16" t="inlineStr">
        <is>
          <t>JP-036</t>
        </is>
      </c>
      <c r="C104" s="16" t="inlineStr">
        <is>
          <t>The National Art Center, Tokyo</t>
        </is>
      </c>
      <c r="D104" s="16" t="inlineStr">
        <is>
          <t>21_21 DESIGN SIGHT</t>
        </is>
      </c>
      <c r="E104" s="93" t="n">
        <v>0.42</v>
      </c>
      <c r="F104" s="16" t="n">
        <v>6</v>
      </c>
      <c r="G104" s="16" t="inlineStr">
        <is>
          <t>A pie</t>
        </is>
      </c>
      <c r="H104" s="16" t="inlineStr">
        <is>
          <t>Mismo cluster</t>
        </is>
      </c>
      <c r="I104" s="16" t="inlineStr">
        <is>
          <t>Estimación geográfica; validar ruta real</t>
        </is>
      </c>
    </row>
    <row r="105" ht="44" customHeight="1">
      <c r="A105" s="16" t="inlineStr">
        <is>
          <t>JP-035</t>
        </is>
      </c>
      <c r="B105" s="16" t="inlineStr">
        <is>
          <t>JP-034</t>
        </is>
      </c>
      <c r="C105" s="16" t="inlineStr">
        <is>
          <t>The National Art Center, Tokyo</t>
        </is>
      </c>
      <c r="D105" s="16" t="inlineStr">
        <is>
          <t>Mori Art Museum + Tokyo City View</t>
        </is>
      </c>
      <c r="E105" s="93" t="n">
        <v>0.6</v>
      </c>
      <c r="F105" s="16" t="n">
        <v>8</v>
      </c>
      <c r="G105" s="16" t="inlineStr">
        <is>
          <t>A pie</t>
        </is>
      </c>
      <c r="H105" s="16" t="inlineStr">
        <is>
          <t>Mismo cluster</t>
        </is>
      </c>
      <c r="I105" s="16" t="inlineStr">
        <is>
          <t>Estimación geográfica; validar ruta real</t>
        </is>
      </c>
    </row>
    <row r="106" ht="44" customHeight="1">
      <c r="A106" s="16" t="inlineStr">
        <is>
          <t>JP-035</t>
        </is>
      </c>
      <c r="B106" s="16" t="inlineStr">
        <is>
          <t>JP-006</t>
        </is>
      </c>
      <c r="C106" s="16" t="inlineStr">
        <is>
          <t>The National Art Center, Tokyo</t>
        </is>
      </c>
      <c r="D106" s="16" t="inlineStr">
        <is>
          <t>Nezu Museum</t>
        </is>
      </c>
      <c r="E106" s="93" t="n">
        <v>0.91</v>
      </c>
      <c r="F106" s="16" t="n">
        <v>13</v>
      </c>
      <c r="G106" s="16" t="inlineStr">
        <is>
          <t>A pie</t>
        </is>
      </c>
      <c r="H106" s="16" t="inlineStr">
        <is>
          <t>Cercano</t>
        </is>
      </c>
      <c r="I106" s="16" t="inlineStr">
        <is>
          <t>Estimación geográfica; validar ruta real</t>
        </is>
      </c>
    </row>
    <row r="107" ht="44" customHeight="1">
      <c r="A107" s="16" t="inlineStr">
        <is>
          <t>JP-036</t>
        </is>
      </c>
      <c r="B107" s="16" t="inlineStr">
        <is>
          <t>JP-035</t>
        </is>
      </c>
      <c r="C107" s="16" t="inlineStr">
        <is>
          <t>21_21 DESIGN SIGHT</t>
        </is>
      </c>
      <c r="D107" s="16" t="inlineStr">
        <is>
          <t>The National Art Center, Tokyo</t>
        </is>
      </c>
      <c r="E107" s="93" t="n">
        <v>0.42</v>
      </c>
      <c r="F107" s="16" t="n">
        <v>6</v>
      </c>
      <c r="G107" s="16" t="inlineStr">
        <is>
          <t>A pie</t>
        </is>
      </c>
      <c r="H107" s="16" t="inlineStr">
        <is>
          <t>Mismo cluster</t>
        </is>
      </c>
      <c r="I107" s="16" t="inlineStr">
        <is>
          <t>Estimación geográfica; validar ruta real</t>
        </is>
      </c>
    </row>
    <row r="108" ht="44" customHeight="1">
      <c r="A108" s="16" t="inlineStr">
        <is>
          <t>JP-036</t>
        </is>
      </c>
      <c r="B108" s="16" t="inlineStr">
        <is>
          <t>JP-034</t>
        </is>
      </c>
      <c r="C108" s="16" t="inlineStr">
        <is>
          <t>21_21 DESIGN SIGHT</t>
        </is>
      </c>
      <c r="D108" s="16" t="inlineStr">
        <is>
          <t>Mori Art Museum + Tokyo City View</t>
        </is>
      </c>
      <c r="E108" s="93" t="n">
        <v>0.79</v>
      </c>
      <c r="F108" s="16" t="n">
        <v>11</v>
      </c>
      <c r="G108" s="16" t="inlineStr">
        <is>
          <t>A pie</t>
        </is>
      </c>
      <c r="H108" s="16" t="inlineStr">
        <is>
          <t>Mismo cluster</t>
        </is>
      </c>
      <c r="I108" s="16" t="inlineStr">
        <is>
          <t>Estimación geográfica; validar ruta real</t>
        </is>
      </c>
    </row>
    <row r="109" ht="44" customHeight="1">
      <c r="A109" s="16" t="inlineStr">
        <is>
          <t>JP-036</t>
        </is>
      </c>
      <c r="B109" s="16" t="inlineStr">
        <is>
          <t>JP-033</t>
        </is>
      </c>
      <c r="C109" s="16" t="inlineStr">
        <is>
          <t>21_21 DESIGN SIGHT</t>
        </is>
      </c>
      <c r="D109" s="16" t="inlineStr">
        <is>
          <t>teamLab Borderless</t>
        </is>
      </c>
      <c r="E109" s="93" t="n">
        <v>1.21</v>
      </c>
      <c r="F109" s="16" t="n">
        <v>17</v>
      </c>
      <c r="G109" s="16" t="inlineStr">
        <is>
          <t>A pie</t>
        </is>
      </c>
      <c r="H109" s="16" t="inlineStr">
        <is>
          <t>Mismo cluster</t>
        </is>
      </c>
      <c r="I109" s="16" t="inlineStr">
        <is>
          <t>Estimación geográfica; validar ruta real</t>
        </is>
      </c>
    </row>
    <row r="110" ht="44" customHeight="1">
      <c r="A110" s="16" t="inlineStr">
        <is>
          <t>JP-037</t>
        </is>
      </c>
      <c r="B110" s="16" t="inlineStr">
        <is>
          <t>JP-033</t>
        </is>
      </c>
      <c r="C110" s="16" t="inlineStr">
        <is>
          <t>Zōjō-ji + Tokyo Tower view</t>
        </is>
      </c>
      <c r="D110" s="16" t="inlineStr">
        <is>
          <t>teamLab Borderless</t>
        </is>
      </c>
      <c r="E110" s="93" t="n">
        <v>0.78</v>
      </c>
      <c r="F110" s="16" t="n">
        <v>11</v>
      </c>
      <c r="G110" s="16" t="inlineStr">
        <is>
          <t>A pie</t>
        </is>
      </c>
      <c r="H110" s="16" t="inlineStr">
        <is>
          <t>Cercano</t>
        </is>
      </c>
      <c r="I110" s="16" t="inlineStr">
        <is>
          <t>Estimación geográfica; validar ruta real</t>
        </is>
      </c>
    </row>
    <row r="111" ht="44" customHeight="1">
      <c r="A111" s="16" t="inlineStr">
        <is>
          <t>JP-037</t>
        </is>
      </c>
      <c r="B111" s="16" t="inlineStr">
        <is>
          <t>JP-031</t>
        </is>
      </c>
      <c r="C111" s="16" t="inlineStr">
        <is>
          <t>Zōjō-ji + Tokyo Tower view</t>
        </is>
      </c>
      <c r="D111" s="16" t="inlineStr">
        <is>
          <t>Hama-rikyu Gardens</t>
        </is>
      </c>
      <c r="E111" s="93" t="n">
        <v>1.39</v>
      </c>
      <c r="F111" s="16" t="n">
        <v>20</v>
      </c>
      <c r="G111" s="16" t="inlineStr">
        <is>
          <t>A pie</t>
        </is>
      </c>
      <c r="H111" s="16" t="inlineStr">
        <is>
          <t>Cercano</t>
        </is>
      </c>
      <c r="I111" s="16" t="inlineStr">
        <is>
          <t>Estimación geográfica; validar ruta real</t>
        </is>
      </c>
    </row>
    <row r="112" ht="44" customHeight="1">
      <c r="A112" s="16" t="inlineStr">
        <is>
          <t>JP-037</t>
        </is>
      </c>
      <c r="B112" s="16" t="inlineStr">
        <is>
          <t>JP-034</t>
        </is>
      </c>
      <c r="C112" s="16" t="inlineStr">
        <is>
          <t>Zōjō-ji + Tokyo Tower view</t>
        </is>
      </c>
      <c r="D112" s="16" t="inlineStr">
        <is>
          <t>Mori Art Museum + Tokyo City View</t>
        </is>
      </c>
      <c r="E112" s="93" t="n">
        <v>1.76</v>
      </c>
      <c r="F112" s="16" t="n">
        <v>25</v>
      </c>
      <c r="G112" s="16" t="inlineStr">
        <is>
          <t>A pie</t>
        </is>
      </c>
      <c r="H112" s="16" t="inlineStr">
        <is>
          <t>Cercano</t>
        </is>
      </c>
      <c r="I112" s="16" t="inlineStr">
        <is>
          <t>Estimación geográfica; validar ruta real</t>
        </is>
      </c>
    </row>
    <row r="113" ht="44" customHeight="1">
      <c r="A113" s="16" t="inlineStr">
        <is>
          <t>JP-038</t>
        </is>
      </c>
      <c r="B113" s="16" t="inlineStr">
        <is>
          <t>JP-039</t>
        </is>
      </c>
      <c r="C113" s="16" t="inlineStr">
        <is>
          <t>teamLab Planets TOKYO</t>
        </is>
      </c>
      <c r="D113" s="16" t="inlineStr">
        <is>
          <t>Toyosu Market</t>
        </is>
      </c>
      <c r="E113" s="93" t="n">
        <v>0.54</v>
      </c>
      <c r="F113" s="16" t="n">
        <v>8</v>
      </c>
      <c r="G113" s="16" t="inlineStr">
        <is>
          <t>A pie</t>
        </is>
      </c>
      <c r="H113" s="16" t="inlineStr">
        <is>
          <t>Mismo cluster</t>
        </is>
      </c>
      <c r="I113" s="16" t="inlineStr">
        <is>
          <t>Estimación geográfica; validar ruta real</t>
        </is>
      </c>
    </row>
    <row r="114" ht="44" customHeight="1">
      <c r="A114" s="16" t="inlineStr">
        <is>
          <t>JP-038</t>
        </is>
      </c>
      <c r="B114" s="16" t="inlineStr">
        <is>
          <t>JP-043</t>
        </is>
      </c>
      <c r="C114" s="16" t="inlineStr">
        <is>
          <t>teamLab Planets TOKYO</t>
        </is>
      </c>
      <c r="D114" s="16" t="inlineStr">
        <is>
          <t>SMALL WORLDS Miniature Museum</t>
        </is>
      </c>
      <c r="E114" s="93" t="n">
        <v>1.06</v>
      </c>
      <c r="F114" s="16" t="n">
        <v>15</v>
      </c>
      <c r="G114" s="16" t="inlineStr">
        <is>
          <t>A pie</t>
        </is>
      </c>
      <c r="H114" s="16" t="inlineStr">
        <is>
          <t>Mismo cluster</t>
        </is>
      </c>
      <c r="I114" s="16" t="inlineStr">
        <is>
          <t>Estimación geográfica; validar ruta real</t>
        </is>
      </c>
    </row>
    <row r="115" ht="44" customHeight="1">
      <c r="A115" s="16" t="inlineStr">
        <is>
          <t>JP-038</t>
        </is>
      </c>
      <c r="B115" s="16" t="inlineStr">
        <is>
          <t>JP-042</t>
        </is>
      </c>
      <c r="C115" s="16" t="inlineStr">
        <is>
          <t>teamLab Planets TOKYO</t>
        </is>
      </c>
      <c r="D115" s="16" t="inlineStr">
        <is>
          <t>Odaiba Seaside Park + Rainbow Bridge</t>
        </is>
      </c>
      <c r="E115" s="93" t="n">
        <v>2.51</v>
      </c>
      <c r="F115" s="16" t="n">
        <v>20</v>
      </c>
      <c r="G115" s="16" t="inlineStr">
        <is>
          <t>Transporte local</t>
        </is>
      </c>
      <c r="H115" s="16" t="inlineStr">
        <is>
          <t>Mismo cluster</t>
        </is>
      </c>
      <c r="I115" s="16" t="inlineStr">
        <is>
          <t>Estimación geográfica; validar ruta real</t>
        </is>
      </c>
    </row>
    <row r="116" ht="44" customHeight="1">
      <c r="A116" s="16" t="inlineStr">
        <is>
          <t>JP-039</t>
        </is>
      </c>
      <c r="B116" s="16" t="inlineStr">
        <is>
          <t>JP-038</t>
        </is>
      </c>
      <c r="C116" s="16" t="inlineStr">
        <is>
          <t>Toyosu Market</t>
        </is>
      </c>
      <c r="D116" s="16" t="inlineStr">
        <is>
          <t>teamLab Planets TOKYO</t>
        </is>
      </c>
      <c r="E116" s="93" t="n">
        <v>0.54</v>
      </c>
      <c r="F116" s="16" t="n">
        <v>8</v>
      </c>
      <c r="G116" s="16" t="inlineStr">
        <is>
          <t>A pie</t>
        </is>
      </c>
      <c r="H116" s="16" t="inlineStr">
        <is>
          <t>Mismo cluster</t>
        </is>
      </c>
      <c r="I116" s="16" t="inlineStr">
        <is>
          <t>Estimación geográfica; validar ruta real</t>
        </is>
      </c>
    </row>
    <row r="117" ht="44" customHeight="1">
      <c r="A117" s="16" t="inlineStr">
        <is>
          <t>JP-039</t>
        </is>
      </c>
      <c r="B117" s="16" t="inlineStr">
        <is>
          <t>JP-043</t>
        </is>
      </c>
      <c r="C117" s="16" t="inlineStr">
        <is>
          <t>Toyosu Market</t>
        </is>
      </c>
      <c r="D117" s="16" t="inlineStr">
        <is>
          <t>SMALL WORLDS Miniature Museum</t>
        </is>
      </c>
      <c r="E117" s="93" t="n">
        <v>0.71</v>
      </c>
      <c r="F117" s="16" t="n">
        <v>10</v>
      </c>
      <c r="G117" s="16" t="inlineStr">
        <is>
          <t>A pie</t>
        </is>
      </c>
      <c r="H117" s="16" t="inlineStr">
        <is>
          <t>Mismo cluster</t>
        </is>
      </c>
      <c r="I117" s="16" t="inlineStr">
        <is>
          <t>Estimación geográfica; validar ruta real</t>
        </is>
      </c>
    </row>
    <row r="118" ht="44" customHeight="1">
      <c r="A118" s="16" t="inlineStr">
        <is>
          <t>JP-039</t>
        </is>
      </c>
      <c r="B118" s="16" t="inlineStr">
        <is>
          <t>JP-042</t>
        </is>
      </c>
      <c r="C118" s="16" t="inlineStr">
        <is>
          <t>Toyosu Market</t>
        </is>
      </c>
      <c r="D118" s="16" t="inlineStr">
        <is>
          <t>Odaiba Seaside Park + Rainbow Bridge</t>
        </is>
      </c>
      <c r="E118" s="93" t="n">
        <v>1.99</v>
      </c>
      <c r="F118" s="16" t="n">
        <v>16</v>
      </c>
      <c r="G118" s="16" t="inlineStr">
        <is>
          <t>Transporte local</t>
        </is>
      </c>
      <c r="H118" s="16" t="inlineStr">
        <is>
          <t>Mismo cluster</t>
        </is>
      </c>
      <c r="I118" s="16" t="inlineStr">
        <is>
          <t>Estimación geográfica; validar ruta real</t>
        </is>
      </c>
    </row>
    <row r="119" ht="44" customHeight="1">
      <c r="A119" s="16" t="inlineStr">
        <is>
          <t>JP-040</t>
        </is>
      </c>
      <c r="B119" s="16" t="inlineStr">
        <is>
          <t>JP-041</t>
        </is>
      </c>
      <c r="C119" s="16" t="inlineStr">
        <is>
          <t>Miraikan</t>
        </is>
      </c>
      <c r="D119" s="16" t="inlineStr">
        <is>
          <t>Unicorn Gundam at DiverCity</t>
        </is>
      </c>
      <c r="E119" s="93" t="n">
        <v>0.66</v>
      </c>
      <c r="F119" s="16" t="n">
        <v>9</v>
      </c>
      <c r="G119" s="16" t="inlineStr">
        <is>
          <t>A pie</t>
        </is>
      </c>
      <c r="H119" s="16" t="inlineStr">
        <is>
          <t>Mismo cluster</t>
        </is>
      </c>
      <c r="I119" s="16" t="inlineStr">
        <is>
          <t>Estimación geográfica; validar ruta real</t>
        </is>
      </c>
    </row>
    <row r="120" ht="44" customHeight="1">
      <c r="A120" s="16" t="inlineStr">
        <is>
          <t>JP-040</t>
        </is>
      </c>
      <c r="B120" s="16" t="inlineStr">
        <is>
          <t>JP-042</t>
        </is>
      </c>
      <c r="C120" s="16" t="inlineStr">
        <is>
          <t>Miraikan</t>
        </is>
      </c>
      <c r="D120" s="16" t="inlineStr">
        <is>
          <t>Odaiba Seaside Park + Rainbow Bridge</t>
        </is>
      </c>
      <c r="E120" s="93" t="n">
        <v>1.2</v>
      </c>
      <c r="F120" s="16" t="n">
        <v>17</v>
      </c>
      <c r="G120" s="16" t="inlineStr">
        <is>
          <t>A pie</t>
        </is>
      </c>
      <c r="H120" s="16" t="inlineStr">
        <is>
          <t>Mismo cluster</t>
        </is>
      </c>
      <c r="I120" s="16" t="inlineStr">
        <is>
          <t>Estimación geográfica; validar ruta real</t>
        </is>
      </c>
    </row>
    <row r="121" ht="44" customHeight="1">
      <c r="A121" s="16" t="inlineStr">
        <is>
          <t>JP-040</t>
        </is>
      </c>
      <c r="B121" s="16" t="inlineStr">
        <is>
          <t>JP-043</t>
        </is>
      </c>
      <c r="C121" s="16" t="inlineStr">
        <is>
          <t>Miraikan</t>
        </is>
      </c>
      <c r="D121" s="16" t="inlineStr">
        <is>
          <t>SMALL WORLDS Miniature Museum</t>
        </is>
      </c>
      <c r="E121" s="93" t="n">
        <v>2.5</v>
      </c>
      <c r="F121" s="16" t="n">
        <v>20</v>
      </c>
      <c r="G121" s="16" t="inlineStr">
        <is>
          <t>Transporte local</t>
        </is>
      </c>
      <c r="H121" s="16" t="inlineStr">
        <is>
          <t>Mismo cluster</t>
        </is>
      </c>
      <c r="I121" s="16" t="inlineStr">
        <is>
          <t>Estimación geográfica; validar ruta real</t>
        </is>
      </c>
    </row>
    <row r="122" ht="44" customHeight="1">
      <c r="A122" s="16" t="inlineStr">
        <is>
          <t>JP-041</t>
        </is>
      </c>
      <c r="B122" s="16" t="inlineStr">
        <is>
          <t>JP-042</t>
        </is>
      </c>
      <c r="C122" s="16" t="inlineStr">
        <is>
          <t>Unicorn Gundam at DiverCity</t>
        </is>
      </c>
      <c r="D122" s="16" t="inlineStr">
        <is>
          <t>Odaiba Seaside Park + Rainbow Bridge</t>
        </is>
      </c>
      <c r="E122" s="93" t="n">
        <v>0.54</v>
      </c>
      <c r="F122" s="16" t="n">
        <v>8</v>
      </c>
      <c r="G122" s="16" t="inlineStr">
        <is>
          <t>A pie</t>
        </is>
      </c>
      <c r="H122" s="16" t="inlineStr">
        <is>
          <t>Mismo cluster</t>
        </is>
      </c>
      <c r="I122" s="16" t="inlineStr">
        <is>
          <t>Estimación geográfica; validar ruta real</t>
        </is>
      </c>
    </row>
    <row r="123" ht="44" customHeight="1">
      <c r="A123" s="16" t="inlineStr">
        <is>
          <t>JP-041</t>
        </is>
      </c>
      <c r="B123" s="16" t="inlineStr">
        <is>
          <t>JP-040</t>
        </is>
      </c>
      <c r="C123" s="16" t="inlineStr">
        <is>
          <t>Unicorn Gundam at DiverCity</t>
        </is>
      </c>
      <c r="D123" s="16" t="inlineStr">
        <is>
          <t>Miraikan</t>
        </is>
      </c>
      <c r="E123" s="93" t="n">
        <v>0.66</v>
      </c>
      <c r="F123" s="16" t="n">
        <v>9</v>
      </c>
      <c r="G123" s="16" t="inlineStr">
        <is>
          <t>A pie</t>
        </is>
      </c>
      <c r="H123" s="16" t="inlineStr">
        <is>
          <t>Mismo cluster</t>
        </is>
      </c>
      <c r="I123" s="16" t="inlineStr">
        <is>
          <t>Estimación geográfica; validar ruta real</t>
        </is>
      </c>
    </row>
    <row r="124" ht="44" customHeight="1">
      <c r="A124" s="16" t="inlineStr">
        <is>
          <t>JP-041</t>
        </is>
      </c>
      <c r="B124" s="16" t="inlineStr">
        <is>
          <t>JP-043</t>
        </is>
      </c>
      <c r="C124" s="16" t="inlineStr">
        <is>
          <t>Unicorn Gundam at DiverCity</t>
        </is>
      </c>
      <c r="D124" s="16" t="inlineStr">
        <is>
          <t>SMALL WORLDS Miniature Museum</t>
        </is>
      </c>
      <c r="E124" s="93" t="n">
        <v>1.98</v>
      </c>
      <c r="F124" s="16" t="n">
        <v>16</v>
      </c>
      <c r="G124" s="16" t="inlineStr">
        <is>
          <t>Transporte local</t>
        </is>
      </c>
      <c r="H124" s="16" t="inlineStr">
        <is>
          <t>Mismo cluster</t>
        </is>
      </c>
      <c r="I124" s="16" t="inlineStr">
        <is>
          <t>Estimación geográfica; validar ruta real</t>
        </is>
      </c>
    </row>
    <row r="125" ht="44" customHeight="1">
      <c r="A125" s="16" t="inlineStr">
        <is>
          <t>JP-042</t>
        </is>
      </c>
      <c r="B125" s="16" t="inlineStr">
        <is>
          <t>JP-041</t>
        </is>
      </c>
      <c r="C125" s="16" t="inlineStr">
        <is>
          <t>Odaiba Seaside Park + Rainbow Bridge</t>
        </is>
      </c>
      <c r="D125" s="16" t="inlineStr">
        <is>
          <t>Unicorn Gundam at DiverCity</t>
        </is>
      </c>
      <c r="E125" s="93" t="n">
        <v>0.54</v>
      </c>
      <c r="F125" s="16" t="n">
        <v>8</v>
      </c>
      <c r="G125" s="16" t="inlineStr">
        <is>
          <t>A pie</t>
        </is>
      </c>
      <c r="H125" s="16" t="inlineStr">
        <is>
          <t>Mismo cluster</t>
        </is>
      </c>
      <c r="I125" s="16" t="inlineStr">
        <is>
          <t>Estimación geográfica; validar ruta real</t>
        </is>
      </c>
    </row>
    <row r="126" ht="44" customHeight="1">
      <c r="A126" s="16" t="inlineStr">
        <is>
          <t>JP-042</t>
        </is>
      </c>
      <c r="B126" s="16" t="inlineStr">
        <is>
          <t>JP-040</t>
        </is>
      </c>
      <c r="C126" s="16" t="inlineStr">
        <is>
          <t>Odaiba Seaside Park + Rainbow Bridge</t>
        </is>
      </c>
      <c r="D126" s="16" t="inlineStr">
        <is>
          <t>Miraikan</t>
        </is>
      </c>
      <c r="E126" s="93" t="n">
        <v>1.2</v>
      </c>
      <c r="F126" s="16" t="n">
        <v>17</v>
      </c>
      <c r="G126" s="16" t="inlineStr">
        <is>
          <t>A pie</t>
        </is>
      </c>
      <c r="H126" s="16" t="inlineStr">
        <is>
          <t>Mismo cluster</t>
        </is>
      </c>
      <c r="I126" s="16" t="inlineStr">
        <is>
          <t>Estimación geográfica; validar ruta real</t>
        </is>
      </c>
    </row>
    <row r="127" ht="44" customHeight="1">
      <c r="A127" s="16" t="inlineStr">
        <is>
          <t>JP-042</t>
        </is>
      </c>
      <c r="B127" s="16" t="inlineStr">
        <is>
          <t>JP-043</t>
        </is>
      </c>
      <c r="C127" s="16" t="inlineStr">
        <is>
          <t>Odaiba Seaside Park + Rainbow Bridge</t>
        </is>
      </c>
      <c r="D127" s="16" t="inlineStr">
        <is>
          <t>SMALL WORLDS Miniature Museum</t>
        </is>
      </c>
      <c r="E127" s="93" t="n">
        <v>1.61</v>
      </c>
      <c r="F127" s="16" t="n">
        <v>23</v>
      </c>
      <c r="G127" s="16" t="inlineStr">
        <is>
          <t>A pie</t>
        </is>
      </c>
      <c r="H127" s="16" t="inlineStr">
        <is>
          <t>Mismo cluster</t>
        </is>
      </c>
      <c r="I127" s="16" t="inlineStr">
        <is>
          <t>Estimación geográfica; validar ruta real</t>
        </is>
      </c>
    </row>
    <row r="128" ht="44" customHeight="1">
      <c r="A128" s="16" t="inlineStr">
        <is>
          <t>JP-043</t>
        </is>
      </c>
      <c r="B128" s="16" t="inlineStr">
        <is>
          <t>JP-039</t>
        </is>
      </c>
      <c r="C128" s="16" t="inlineStr">
        <is>
          <t>SMALL WORLDS Miniature Museum</t>
        </is>
      </c>
      <c r="D128" s="16" t="inlineStr">
        <is>
          <t>Toyosu Market</t>
        </is>
      </c>
      <c r="E128" s="93" t="n">
        <v>0.71</v>
      </c>
      <c r="F128" s="16" t="n">
        <v>10</v>
      </c>
      <c r="G128" s="16" t="inlineStr">
        <is>
          <t>A pie</t>
        </is>
      </c>
      <c r="H128" s="16" t="inlineStr">
        <is>
          <t>Mismo cluster</t>
        </is>
      </c>
      <c r="I128" s="16" t="inlineStr">
        <is>
          <t>Estimación geográfica; validar ruta real</t>
        </is>
      </c>
    </row>
    <row r="129" ht="44" customHeight="1">
      <c r="A129" s="16" t="inlineStr">
        <is>
          <t>JP-043</t>
        </is>
      </c>
      <c r="B129" s="16" t="inlineStr">
        <is>
          <t>JP-038</t>
        </is>
      </c>
      <c r="C129" s="16" t="inlineStr">
        <is>
          <t>SMALL WORLDS Miniature Museum</t>
        </is>
      </c>
      <c r="D129" s="16" t="inlineStr">
        <is>
          <t>teamLab Planets TOKYO</t>
        </is>
      </c>
      <c r="E129" s="93" t="n">
        <v>1.06</v>
      </c>
      <c r="F129" s="16" t="n">
        <v>15</v>
      </c>
      <c r="G129" s="16" t="inlineStr">
        <is>
          <t>A pie</t>
        </is>
      </c>
      <c r="H129" s="16" t="inlineStr">
        <is>
          <t>Mismo cluster</t>
        </is>
      </c>
      <c r="I129" s="16" t="inlineStr">
        <is>
          <t>Estimación geográfica; validar ruta real</t>
        </is>
      </c>
    </row>
    <row r="130" ht="44" customHeight="1">
      <c r="A130" s="16" t="inlineStr">
        <is>
          <t>JP-043</t>
        </is>
      </c>
      <c r="B130" s="16" t="inlineStr">
        <is>
          <t>JP-042</t>
        </is>
      </c>
      <c r="C130" s="16" t="inlineStr">
        <is>
          <t>SMALL WORLDS Miniature Museum</t>
        </is>
      </c>
      <c r="D130" s="16" t="inlineStr">
        <is>
          <t>Odaiba Seaside Park + Rainbow Bridge</t>
        </is>
      </c>
      <c r="E130" s="93" t="n">
        <v>1.61</v>
      </c>
      <c r="F130" s="16" t="n">
        <v>23</v>
      </c>
      <c r="G130" s="16" t="inlineStr">
        <is>
          <t>A pie</t>
        </is>
      </c>
      <c r="H130" s="16" t="inlineStr">
        <is>
          <t>Mismo cluster</t>
        </is>
      </c>
      <c r="I130" s="16" t="inlineStr">
        <is>
          <t>Estimación geográfica; validar ruta real</t>
        </is>
      </c>
    </row>
    <row r="131" ht="44" customHeight="1">
      <c r="A131" s="16" t="inlineStr">
        <is>
          <t>JP-044</t>
        </is>
      </c>
      <c r="B131" s="16" t="inlineStr">
        <is>
          <t>JP-045</t>
        </is>
      </c>
      <c r="C131" s="16" t="inlineStr">
        <is>
          <t>Ghibli Museum, Mitaka</t>
        </is>
      </c>
      <c r="D131" s="16" t="inlineStr">
        <is>
          <t>Kichijoji + Inokashira Park</t>
        </is>
      </c>
      <c r="E131" s="93" t="n">
        <v>0.96</v>
      </c>
      <c r="F131" s="16" t="n">
        <v>13</v>
      </c>
      <c r="G131" s="16" t="inlineStr">
        <is>
          <t>A pie</t>
        </is>
      </c>
      <c r="H131" s="16" t="inlineStr">
        <is>
          <t>Mismo cluster</t>
        </is>
      </c>
      <c r="I131" s="16" t="inlineStr">
        <is>
          <t>Estimación geográfica; validar ruta real</t>
        </is>
      </c>
    </row>
    <row r="132" ht="44" customHeight="1">
      <c r="A132" s="16" t="inlineStr">
        <is>
          <t>JP-045</t>
        </is>
      </c>
      <c r="B132" s="16" t="inlineStr">
        <is>
          <t>JP-044</t>
        </is>
      </c>
      <c r="C132" s="16" t="inlineStr">
        <is>
          <t>Kichijoji + Inokashira Park</t>
        </is>
      </c>
      <c r="D132" s="16" t="inlineStr">
        <is>
          <t>Ghibli Museum, Mitaka</t>
        </is>
      </c>
      <c r="E132" s="93" t="n">
        <v>0.96</v>
      </c>
      <c r="F132" s="16" t="n">
        <v>13</v>
      </c>
      <c r="G132" s="16" t="inlineStr">
        <is>
          <t>A pie</t>
        </is>
      </c>
      <c r="H132" s="16" t="inlineStr">
        <is>
          <t>Mismo cluster</t>
        </is>
      </c>
      <c r="I132" s="16" t="inlineStr">
        <is>
          <t>Estimación geográfica; validar ruta real</t>
        </is>
      </c>
    </row>
    <row r="133" ht="44" customHeight="1">
      <c r="A133" s="16" t="inlineStr">
        <is>
          <t>JP-053</t>
        </is>
      </c>
      <c r="B133" s="16" t="inlineStr">
        <is>
          <t>JP-020</t>
        </is>
      </c>
      <c r="C133" s="16" t="inlineStr">
        <is>
          <t>Edo-Tokyo Museum</t>
        </is>
      </c>
      <c r="D133" s="16" t="inlineStr">
        <is>
          <t>The Sumida Hokusai Museum</t>
        </is>
      </c>
      <c r="E133" s="93" t="n">
        <v>0.34</v>
      </c>
      <c r="F133" s="16" t="n">
        <v>5</v>
      </c>
      <c r="G133" s="16" t="inlineStr">
        <is>
          <t>A pie</t>
        </is>
      </c>
      <c r="H133" s="16" t="inlineStr">
        <is>
          <t>Cercano</t>
        </is>
      </c>
      <c r="I133" s="16" t="inlineStr">
        <is>
          <t>Estimación geográfica; validar ruta real</t>
        </is>
      </c>
    </row>
    <row r="134" ht="44" customHeight="1">
      <c r="A134" s="16" t="inlineStr">
        <is>
          <t>JP-053</t>
        </is>
      </c>
      <c r="B134" s="16" t="inlineStr">
        <is>
          <t>JP-017</t>
        </is>
      </c>
      <c r="C134" s="16" t="inlineStr">
        <is>
          <t>Edo-Tokyo Museum</t>
        </is>
      </c>
      <c r="D134" s="16" t="inlineStr">
        <is>
          <t>Asakusa Culture Tourist Information Center</t>
        </is>
      </c>
      <c r="E134" s="93" t="n">
        <v>1.57</v>
      </c>
      <c r="F134" s="16" t="n">
        <v>22</v>
      </c>
      <c r="G134" s="16" t="inlineStr">
        <is>
          <t>A pie</t>
        </is>
      </c>
      <c r="H134" s="16" t="inlineStr">
        <is>
          <t>Cercano</t>
        </is>
      </c>
      <c r="I134" s="16" t="inlineStr">
        <is>
          <t>Estimación geográfica; validar ruta real</t>
        </is>
      </c>
    </row>
    <row r="135" ht="44" customHeight="1">
      <c r="A135" s="16" t="inlineStr">
        <is>
          <t>JP-053</t>
        </is>
      </c>
      <c r="B135" s="16" t="inlineStr">
        <is>
          <t>JP-019</t>
        </is>
      </c>
      <c r="C135" s="16" t="inlineStr">
        <is>
          <t>Edo-Tokyo Museum</t>
        </is>
      </c>
      <c r="D135" s="16" t="inlineStr">
        <is>
          <t>Tokyo Skytree</t>
        </is>
      </c>
      <c r="E135" s="93" t="n">
        <v>1.96</v>
      </c>
      <c r="F135" s="16" t="n">
        <v>16</v>
      </c>
      <c r="G135" s="16" t="inlineStr">
        <is>
          <t>Transporte local</t>
        </is>
      </c>
      <c r="H135" s="16" t="inlineStr">
        <is>
          <t>Cercano</t>
        </is>
      </c>
      <c r="I135" s="16" t="inlineStr">
        <is>
          <t>Estimación geográfica; validar ruta real</t>
        </is>
      </c>
    </row>
    <row r="136" ht="44" customHeight="1">
      <c r="A136" s="16" t="inlineStr">
        <is>
          <t>JP-054</t>
        </is>
      </c>
      <c r="B136" s="16" t="inlineStr">
        <is>
          <t>JP-055</t>
        </is>
      </c>
      <c r="C136" s="16" t="inlineStr">
        <is>
          <t>Kiyomizu-dera</t>
        </is>
      </c>
      <c r="D136" s="16" t="inlineStr">
        <is>
          <t>Sannenzaka and Ninenzaka</t>
        </is>
      </c>
      <c r="E136" s="93" t="n">
        <v>0.36</v>
      </c>
      <c r="F136" s="16" t="n">
        <v>5</v>
      </c>
      <c r="G136" s="16" t="inlineStr">
        <is>
          <t>A pie</t>
        </is>
      </c>
      <c r="H136" s="16" t="inlineStr">
        <is>
          <t>Mismo cluster</t>
        </is>
      </c>
      <c r="I136" s="16" t="inlineStr">
        <is>
          <t>Estimación geográfica; validar ruta real</t>
        </is>
      </c>
    </row>
    <row r="137" ht="44" customHeight="1">
      <c r="A137" s="16" t="inlineStr">
        <is>
          <t>JP-054</t>
        </is>
      </c>
      <c r="B137" s="16" t="inlineStr">
        <is>
          <t>JP-056</t>
        </is>
      </c>
      <c r="C137" s="16" t="inlineStr">
        <is>
          <t>Kiyomizu-dera</t>
        </is>
      </c>
      <c r="D137" s="16" t="inlineStr">
        <is>
          <t>Yasaka Kōshin-dō</t>
        </is>
      </c>
      <c r="E137" s="93" t="n">
        <v>0.64</v>
      </c>
      <c r="F137" s="16" t="n">
        <v>9</v>
      </c>
      <c r="G137" s="16" t="inlineStr">
        <is>
          <t>A pie</t>
        </is>
      </c>
      <c r="H137" s="16" t="inlineStr">
        <is>
          <t>Mismo cluster</t>
        </is>
      </c>
      <c r="I137" s="16" t="inlineStr">
        <is>
          <t>Estimación geográfica; validar ruta real</t>
        </is>
      </c>
    </row>
    <row r="138" ht="44" customHeight="1">
      <c r="A138" s="16" t="inlineStr">
        <is>
          <t>JP-054</t>
        </is>
      </c>
      <c r="B138" s="16" t="inlineStr">
        <is>
          <t>JP-059</t>
        </is>
      </c>
      <c r="C138" s="16" t="inlineStr">
        <is>
          <t>Kiyomizu-dera</t>
        </is>
      </c>
      <c r="D138" s="16" t="inlineStr">
        <is>
          <t>Kōdai-ji</t>
        </is>
      </c>
      <c r="E138" s="93" t="n">
        <v>0.74</v>
      </c>
      <c r="F138" s="16" t="n">
        <v>10</v>
      </c>
      <c r="G138" s="16" t="inlineStr">
        <is>
          <t>A pie</t>
        </is>
      </c>
      <c r="H138" s="16" t="inlineStr">
        <is>
          <t>Mismo cluster</t>
        </is>
      </c>
      <c r="I138" s="16" t="inlineStr">
        <is>
          <t>Estimación geográfica; validar ruta real</t>
        </is>
      </c>
    </row>
    <row r="139" ht="44" customHeight="1">
      <c r="A139" s="16" t="inlineStr">
        <is>
          <t>JP-055</t>
        </is>
      </c>
      <c r="B139" s="16" t="inlineStr">
        <is>
          <t>JP-056</t>
        </is>
      </c>
      <c r="C139" s="16" t="inlineStr">
        <is>
          <t>Sannenzaka and Ninenzaka</t>
        </is>
      </c>
      <c r="D139" s="16" t="inlineStr">
        <is>
          <t>Yasaka Kōshin-dō</t>
        </is>
      </c>
      <c r="E139" s="93" t="n">
        <v>0.29</v>
      </c>
      <c r="F139" s="16" t="n">
        <v>4</v>
      </c>
      <c r="G139" s="16" t="inlineStr">
        <is>
          <t>A pie</t>
        </is>
      </c>
      <c r="H139" s="16" t="inlineStr">
        <is>
          <t>Mismo cluster</t>
        </is>
      </c>
      <c r="I139" s="16" t="inlineStr">
        <is>
          <t>Estimación geográfica; validar ruta real</t>
        </is>
      </c>
    </row>
    <row r="140" ht="44" customHeight="1">
      <c r="A140" s="16" t="inlineStr">
        <is>
          <t>JP-055</t>
        </is>
      </c>
      <c r="B140" s="16" t="inlineStr">
        <is>
          <t>JP-054</t>
        </is>
      </c>
      <c r="C140" s="16" t="inlineStr">
        <is>
          <t>Sannenzaka and Ninenzaka</t>
        </is>
      </c>
      <c r="D140" s="16" t="inlineStr">
        <is>
          <t>Kiyomizu-dera</t>
        </is>
      </c>
      <c r="E140" s="93" t="n">
        <v>0.36</v>
      </c>
      <c r="F140" s="16" t="n">
        <v>5</v>
      </c>
      <c r="G140" s="16" t="inlineStr">
        <is>
          <t>A pie</t>
        </is>
      </c>
      <c r="H140" s="16" t="inlineStr">
        <is>
          <t>Mismo cluster</t>
        </is>
      </c>
      <c r="I140" s="16" t="inlineStr">
        <is>
          <t>Estimación geográfica; validar ruta real</t>
        </is>
      </c>
    </row>
    <row r="141" ht="44" customHeight="1">
      <c r="A141" s="16" t="inlineStr">
        <is>
          <t>JP-055</t>
        </is>
      </c>
      <c r="B141" s="16" t="inlineStr">
        <is>
          <t>JP-059</t>
        </is>
      </c>
      <c r="C141" s="16" t="inlineStr">
        <is>
          <t>Sannenzaka and Ninenzaka</t>
        </is>
      </c>
      <c r="D141" s="16" t="inlineStr">
        <is>
          <t>Kōdai-ji</t>
        </is>
      </c>
      <c r="E141" s="93" t="n">
        <v>0.39</v>
      </c>
      <c r="F141" s="16" t="n">
        <v>5</v>
      </c>
      <c r="G141" s="16" t="inlineStr">
        <is>
          <t>A pie</t>
        </is>
      </c>
      <c r="H141" s="16" t="inlineStr">
        <is>
          <t>Mismo cluster</t>
        </is>
      </c>
      <c r="I141" s="16" t="inlineStr">
        <is>
          <t>Estimación geográfica; validar ruta real</t>
        </is>
      </c>
    </row>
    <row r="142" ht="44" customHeight="1">
      <c r="A142" s="16" t="inlineStr">
        <is>
          <t>JP-056</t>
        </is>
      </c>
      <c r="B142" s="16" t="inlineStr">
        <is>
          <t>JP-059</t>
        </is>
      </c>
      <c r="C142" s="16" t="inlineStr">
        <is>
          <t>Yasaka Kōshin-dō</t>
        </is>
      </c>
      <c r="D142" s="16" t="inlineStr">
        <is>
          <t>Kōdai-ji</t>
        </is>
      </c>
      <c r="E142" s="93" t="n">
        <v>0.14</v>
      </c>
      <c r="F142" s="16" t="n">
        <v>3</v>
      </c>
      <c r="G142" s="16" t="inlineStr">
        <is>
          <t>A pie</t>
        </is>
      </c>
      <c r="H142" s="16" t="inlineStr">
        <is>
          <t>Mismo cluster</t>
        </is>
      </c>
      <c r="I142" s="16" t="inlineStr">
        <is>
          <t>Estimación geográfica; validar ruta real</t>
        </is>
      </c>
    </row>
    <row r="143" ht="44" customHeight="1">
      <c r="A143" s="16" t="inlineStr">
        <is>
          <t>JP-056</t>
        </is>
      </c>
      <c r="B143" s="16" t="inlineStr">
        <is>
          <t>JP-055</t>
        </is>
      </c>
      <c r="C143" s="16" t="inlineStr">
        <is>
          <t>Yasaka Kōshin-dō</t>
        </is>
      </c>
      <c r="D143" s="16" t="inlineStr">
        <is>
          <t>Sannenzaka and Ninenzaka</t>
        </is>
      </c>
      <c r="E143" s="93" t="n">
        <v>0.29</v>
      </c>
      <c r="F143" s="16" t="n">
        <v>4</v>
      </c>
      <c r="G143" s="16" t="inlineStr">
        <is>
          <t>A pie</t>
        </is>
      </c>
      <c r="H143" s="16" t="inlineStr">
        <is>
          <t>Mismo cluster</t>
        </is>
      </c>
      <c r="I143" s="16" t="inlineStr">
        <is>
          <t>Estimación geográfica; validar ruta real</t>
        </is>
      </c>
    </row>
    <row r="144" ht="44" customHeight="1">
      <c r="A144" s="16" t="inlineStr">
        <is>
          <t>JP-056</t>
        </is>
      </c>
      <c r="B144" s="16" t="inlineStr">
        <is>
          <t>JP-101</t>
        </is>
      </c>
      <c r="C144" s="16" t="inlineStr">
        <is>
          <t>Yasaka Kōshin-dō</t>
        </is>
      </c>
      <c r="D144" s="16" t="inlineStr">
        <is>
          <t>Gion Corner</t>
        </is>
      </c>
      <c r="E144" s="93" t="n">
        <v>0.48</v>
      </c>
      <c r="F144" s="16" t="n">
        <v>7</v>
      </c>
      <c r="G144" s="16" t="inlineStr">
        <is>
          <t>A pie</t>
        </is>
      </c>
      <c r="H144" s="16" t="inlineStr">
        <is>
          <t>Mismo cluster</t>
        </is>
      </c>
      <c r="I144" s="16" t="inlineStr">
        <is>
          <t>Estimación geográfica; validar ruta real</t>
        </is>
      </c>
    </row>
    <row r="145" ht="44" customHeight="1">
      <c r="A145" s="16" t="inlineStr">
        <is>
          <t>JP-057</t>
        </is>
      </c>
      <c r="B145" s="16" t="inlineStr">
        <is>
          <t>JP-058</t>
        </is>
      </c>
      <c r="C145" s="16" t="inlineStr">
        <is>
          <t>Gion Shirakawa</t>
        </is>
      </c>
      <c r="D145" s="16" t="inlineStr">
        <is>
          <t>Kennin-ji</t>
        </is>
      </c>
      <c r="E145" s="93" t="n">
        <v>0.53</v>
      </c>
      <c r="F145" s="16" t="n">
        <v>7</v>
      </c>
      <c r="G145" s="16" t="inlineStr">
        <is>
          <t>A pie</t>
        </is>
      </c>
      <c r="H145" s="16" t="inlineStr">
        <is>
          <t>Mismo cluster</t>
        </is>
      </c>
      <c r="I145" s="16" t="inlineStr">
        <is>
          <t>Estimación geográfica; validar ruta real</t>
        </is>
      </c>
    </row>
    <row r="146" ht="44" customHeight="1">
      <c r="A146" s="16" t="inlineStr">
        <is>
          <t>JP-057</t>
        </is>
      </c>
      <c r="B146" s="16" t="inlineStr">
        <is>
          <t>JP-101</t>
        </is>
      </c>
      <c r="C146" s="16" t="inlineStr">
        <is>
          <t>Gion Shirakawa</t>
        </is>
      </c>
      <c r="D146" s="16" t="inlineStr">
        <is>
          <t>Gion Corner</t>
        </is>
      </c>
      <c r="E146" s="93" t="n">
        <v>0.63</v>
      </c>
      <c r="F146" s="16" t="n">
        <v>9</v>
      </c>
      <c r="G146" s="16" t="inlineStr">
        <is>
          <t>A pie</t>
        </is>
      </c>
      <c r="H146" s="16" t="inlineStr">
        <is>
          <t>Mismo cluster</t>
        </is>
      </c>
      <c r="I146" s="16" t="inlineStr">
        <is>
          <t>Estimación geográfica; validar ruta real</t>
        </is>
      </c>
    </row>
    <row r="147" ht="44" customHeight="1">
      <c r="A147" s="16" t="inlineStr">
        <is>
          <t>JP-057</t>
        </is>
      </c>
      <c r="B147" s="16" t="inlineStr">
        <is>
          <t>JP-091</t>
        </is>
      </c>
      <c r="C147" s="16" t="inlineStr">
        <is>
          <t>Gion Shirakawa</t>
        </is>
      </c>
      <c r="D147" s="16" t="inlineStr">
        <is>
          <t>Nishiki Market</t>
        </is>
      </c>
      <c r="E147" s="93" t="n">
        <v>0.77</v>
      </c>
      <c r="F147" s="16" t="n">
        <v>11</v>
      </c>
      <c r="G147" s="16" t="inlineStr">
        <is>
          <t>A pie</t>
        </is>
      </c>
      <c r="H147" s="16" t="inlineStr">
        <is>
          <t>Cercano</t>
        </is>
      </c>
      <c r="I147" s="16" t="inlineStr">
        <is>
          <t>Estimación geográfica; validar ruta real</t>
        </is>
      </c>
    </row>
    <row r="148" ht="44" customHeight="1">
      <c r="A148" s="16" t="inlineStr">
        <is>
          <t>JP-058</t>
        </is>
      </c>
      <c r="B148" s="16" t="inlineStr">
        <is>
          <t>JP-101</t>
        </is>
      </c>
      <c r="C148" s="16" t="inlineStr">
        <is>
          <t>Kennin-ji</t>
        </is>
      </c>
      <c r="D148" s="16" t="inlineStr">
        <is>
          <t>Gion Corner</t>
        </is>
      </c>
      <c r="E148" s="93" t="n">
        <v>0.17</v>
      </c>
      <c r="F148" s="16" t="n">
        <v>3</v>
      </c>
      <c r="G148" s="16" t="inlineStr">
        <is>
          <t>A pie</t>
        </is>
      </c>
      <c r="H148" s="16" t="inlineStr">
        <is>
          <t>Mismo cluster</t>
        </is>
      </c>
      <c r="I148" s="16" t="inlineStr">
        <is>
          <t>Estimación geográfica; validar ruta real</t>
        </is>
      </c>
    </row>
    <row r="149" ht="44" customHeight="1">
      <c r="A149" s="16" t="inlineStr">
        <is>
          <t>JP-058</t>
        </is>
      </c>
      <c r="B149" s="16" t="inlineStr">
        <is>
          <t>JP-057</t>
        </is>
      </c>
      <c r="C149" s="16" t="inlineStr">
        <is>
          <t>Kennin-ji</t>
        </is>
      </c>
      <c r="D149" s="16" t="inlineStr">
        <is>
          <t>Gion Shirakawa</t>
        </is>
      </c>
      <c r="E149" s="93" t="n">
        <v>0.53</v>
      </c>
      <c r="F149" s="16" t="n">
        <v>7</v>
      </c>
      <c r="G149" s="16" t="inlineStr">
        <is>
          <t>A pie</t>
        </is>
      </c>
      <c r="H149" s="16" t="inlineStr">
        <is>
          <t>Mismo cluster</t>
        </is>
      </c>
      <c r="I149" s="16" t="inlineStr">
        <is>
          <t>Estimación geográfica; validar ruta real</t>
        </is>
      </c>
    </row>
    <row r="150" ht="44" customHeight="1">
      <c r="A150" s="16" t="inlineStr">
        <is>
          <t>JP-058</t>
        </is>
      </c>
      <c r="B150" s="16" t="inlineStr">
        <is>
          <t>JP-056</t>
        </is>
      </c>
      <c r="C150" s="16" t="inlineStr">
        <is>
          <t>Kennin-ji</t>
        </is>
      </c>
      <c r="D150" s="16" t="inlineStr">
        <is>
          <t>Yasaka Kōshin-dō</t>
        </is>
      </c>
      <c r="E150" s="93" t="n">
        <v>0.63</v>
      </c>
      <c r="F150" s="16" t="n">
        <v>9</v>
      </c>
      <c r="G150" s="16" t="inlineStr">
        <is>
          <t>A pie</t>
        </is>
      </c>
      <c r="H150" s="16" t="inlineStr">
        <is>
          <t>Mismo cluster</t>
        </is>
      </c>
      <c r="I150" s="16" t="inlineStr">
        <is>
          <t>Estimación geográfica; validar ruta real</t>
        </is>
      </c>
    </row>
    <row r="151" ht="44" customHeight="1">
      <c r="A151" s="16" t="inlineStr">
        <is>
          <t>JP-059</t>
        </is>
      </c>
      <c r="B151" s="16" t="inlineStr">
        <is>
          <t>JP-056</t>
        </is>
      </c>
      <c r="C151" s="16" t="inlineStr">
        <is>
          <t>Kōdai-ji</t>
        </is>
      </c>
      <c r="D151" s="16" t="inlineStr">
        <is>
          <t>Yasaka Kōshin-dō</t>
        </is>
      </c>
      <c r="E151" s="93" t="n">
        <v>0.14</v>
      </c>
      <c r="F151" s="16" t="n">
        <v>3</v>
      </c>
      <c r="G151" s="16" t="inlineStr">
        <is>
          <t>A pie</t>
        </is>
      </c>
      <c r="H151" s="16" t="inlineStr">
        <is>
          <t>Mismo cluster</t>
        </is>
      </c>
      <c r="I151" s="16" t="inlineStr">
        <is>
          <t>Estimación geográfica; validar ruta real</t>
        </is>
      </c>
    </row>
    <row r="152" ht="44" customHeight="1">
      <c r="A152" s="16" t="inlineStr">
        <is>
          <t>JP-059</t>
        </is>
      </c>
      <c r="B152" s="16" t="inlineStr">
        <is>
          <t>JP-055</t>
        </is>
      </c>
      <c r="C152" s="16" t="inlineStr">
        <is>
          <t>Kōdai-ji</t>
        </is>
      </c>
      <c r="D152" s="16" t="inlineStr">
        <is>
          <t>Sannenzaka and Ninenzaka</t>
        </is>
      </c>
      <c r="E152" s="93" t="n">
        <v>0.39</v>
      </c>
      <c r="F152" s="16" t="n">
        <v>5</v>
      </c>
      <c r="G152" s="16" t="inlineStr">
        <is>
          <t>A pie</t>
        </is>
      </c>
      <c r="H152" s="16" t="inlineStr">
        <is>
          <t>Mismo cluster</t>
        </is>
      </c>
      <c r="I152" s="16" t="inlineStr">
        <is>
          <t>Estimación geográfica; validar ruta real</t>
        </is>
      </c>
    </row>
    <row r="153" ht="44" customHeight="1">
      <c r="A153" s="16" t="inlineStr">
        <is>
          <t>JP-059</t>
        </is>
      </c>
      <c r="B153" s="16" t="inlineStr">
        <is>
          <t>JP-101</t>
        </is>
      </c>
      <c r="C153" s="16" t="inlineStr">
        <is>
          <t>Kōdai-ji</t>
        </is>
      </c>
      <c r="D153" s="16" t="inlineStr">
        <is>
          <t>Gion Corner</t>
        </is>
      </c>
      <c r="E153" s="93" t="n">
        <v>0.51</v>
      </c>
      <c r="F153" s="16" t="n">
        <v>7</v>
      </c>
      <c r="G153" s="16" t="inlineStr">
        <is>
          <t>A pie</t>
        </is>
      </c>
      <c r="H153" s="16" t="inlineStr">
        <is>
          <t>Mismo cluster</t>
        </is>
      </c>
      <c r="I153" s="16" t="inlineStr">
        <is>
          <t>Estimación geográfica; validar ruta real</t>
        </is>
      </c>
    </row>
    <row r="154" ht="44" customHeight="1">
      <c r="A154" s="16" t="inlineStr">
        <is>
          <t>JP-060</t>
        </is>
      </c>
      <c r="B154" s="16" t="inlineStr">
        <is>
          <t>JP-062</t>
        </is>
      </c>
      <c r="C154" s="16" t="inlineStr">
        <is>
          <t>Nanzen-ji</t>
        </is>
      </c>
      <c r="D154" s="16" t="inlineStr">
        <is>
          <t>Eikan-dō</t>
        </is>
      </c>
      <c r="E154" s="93" t="n">
        <v>0.33</v>
      </c>
      <c r="F154" s="16" t="n">
        <v>5</v>
      </c>
      <c r="G154" s="16" t="inlineStr">
        <is>
          <t>A pie</t>
        </is>
      </c>
      <c r="H154" s="16" t="inlineStr">
        <is>
          <t>Mismo cluster</t>
        </is>
      </c>
      <c r="I154" s="16" t="inlineStr">
        <is>
          <t>Estimación geográfica; validar ruta real</t>
        </is>
      </c>
    </row>
    <row r="155" ht="44" customHeight="1">
      <c r="A155" s="16" t="inlineStr">
        <is>
          <t>JP-060</t>
        </is>
      </c>
      <c r="B155" s="16" t="inlineStr">
        <is>
          <t>JP-061</t>
        </is>
      </c>
      <c r="C155" s="16" t="inlineStr">
        <is>
          <t>Nanzen-ji</t>
        </is>
      </c>
      <c r="D155" s="16" t="inlineStr">
        <is>
          <t>Murin-an</t>
        </is>
      </c>
      <c r="E155" s="93" t="n">
        <v>0.48</v>
      </c>
      <c r="F155" s="16" t="n">
        <v>7</v>
      </c>
      <c r="G155" s="16" t="inlineStr">
        <is>
          <t>A pie</t>
        </is>
      </c>
      <c r="H155" s="16" t="inlineStr">
        <is>
          <t>Mismo cluster</t>
        </is>
      </c>
      <c r="I155" s="16" t="inlineStr">
        <is>
          <t>Estimación geográfica; validar ruta real</t>
        </is>
      </c>
    </row>
    <row r="156" ht="44" customHeight="1">
      <c r="A156" s="16" t="inlineStr">
        <is>
          <t>JP-060</t>
        </is>
      </c>
      <c r="B156" s="16" t="inlineStr">
        <is>
          <t>JP-064</t>
        </is>
      </c>
      <c r="C156" s="16" t="inlineStr">
        <is>
          <t>Nanzen-ji</t>
        </is>
      </c>
      <c r="D156" s="16" t="inlineStr">
        <is>
          <t>Hōnen-in</t>
        </is>
      </c>
      <c r="E156" s="93" t="n">
        <v>1.25</v>
      </c>
      <c r="F156" s="16" t="n">
        <v>18</v>
      </c>
      <c r="G156" s="16" t="inlineStr">
        <is>
          <t>A pie</t>
        </is>
      </c>
      <c r="H156" s="16" t="inlineStr">
        <is>
          <t>Mismo cluster</t>
        </is>
      </c>
      <c r="I156" s="16" t="inlineStr">
        <is>
          <t>Estimación geográfica; validar ruta real</t>
        </is>
      </c>
    </row>
    <row r="157" ht="44" customHeight="1">
      <c r="A157" s="16" t="inlineStr">
        <is>
          <t>JP-061</t>
        </is>
      </c>
      <c r="B157" s="16" t="inlineStr">
        <is>
          <t>JP-060</t>
        </is>
      </c>
      <c r="C157" s="16" t="inlineStr">
        <is>
          <t>Murin-an</t>
        </is>
      </c>
      <c r="D157" s="16" t="inlineStr">
        <is>
          <t>Nanzen-ji</t>
        </is>
      </c>
      <c r="E157" s="93" t="n">
        <v>0.48</v>
      </c>
      <c r="F157" s="16" t="n">
        <v>7</v>
      </c>
      <c r="G157" s="16" t="inlineStr">
        <is>
          <t>A pie</t>
        </is>
      </c>
      <c r="H157" s="16" t="inlineStr">
        <is>
          <t>Mismo cluster</t>
        </is>
      </c>
      <c r="I157" s="16" t="inlineStr">
        <is>
          <t>Estimación geográfica; validar ruta real</t>
        </is>
      </c>
    </row>
    <row r="158" ht="44" customHeight="1">
      <c r="A158" s="16" t="inlineStr">
        <is>
          <t>JP-061</t>
        </is>
      </c>
      <c r="B158" s="16" t="inlineStr">
        <is>
          <t>JP-062</t>
        </is>
      </c>
      <c r="C158" s="16" t="inlineStr">
        <is>
          <t>Murin-an</t>
        </is>
      </c>
      <c r="D158" s="16" t="inlineStr">
        <is>
          <t>Eikan-dō</t>
        </is>
      </c>
      <c r="E158" s="93" t="n">
        <v>0.65</v>
      </c>
      <c r="F158" s="16" t="n">
        <v>9</v>
      </c>
      <c r="G158" s="16" t="inlineStr">
        <is>
          <t>A pie</t>
        </is>
      </c>
      <c r="H158" s="16" t="inlineStr">
        <is>
          <t>Mismo cluster</t>
        </is>
      </c>
      <c r="I158" s="16" t="inlineStr">
        <is>
          <t>Estimación geográfica; validar ruta real</t>
        </is>
      </c>
    </row>
    <row r="159" ht="44" customHeight="1">
      <c r="A159" s="16" t="inlineStr">
        <is>
          <t>JP-061</t>
        </is>
      </c>
      <c r="B159" s="16" t="inlineStr">
        <is>
          <t>JP-059</t>
        </is>
      </c>
      <c r="C159" s="16" t="inlineStr">
        <is>
          <t>Murin-an</t>
        </is>
      </c>
      <c r="D159" s="16" t="inlineStr">
        <is>
          <t>Kōdai-ji</t>
        </is>
      </c>
      <c r="E159" s="93" t="n">
        <v>1.3</v>
      </c>
      <c r="F159" s="16" t="n">
        <v>18</v>
      </c>
      <c r="G159" s="16" t="inlineStr">
        <is>
          <t>A pie</t>
        </is>
      </c>
      <c r="H159" s="16" t="inlineStr">
        <is>
          <t>Cercano</t>
        </is>
      </c>
      <c r="I159" s="16" t="inlineStr">
        <is>
          <t>Estimación geográfica; validar ruta real</t>
        </is>
      </c>
    </row>
    <row r="160" ht="44" customHeight="1">
      <c r="A160" s="16" t="inlineStr">
        <is>
          <t>JP-062</t>
        </is>
      </c>
      <c r="B160" s="16" t="inlineStr">
        <is>
          <t>JP-060</t>
        </is>
      </c>
      <c r="C160" s="16" t="inlineStr">
        <is>
          <t>Eikan-dō</t>
        </is>
      </c>
      <c r="D160" s="16" t="inlineStr">
        <is>
          <t>Nanzen-ji</t>
        </is>
      </c>
      <c r="E160" s="93" t="n">
        <v>0.33</v>
      </c>
      <c r="F160" s="16" t="n">
        <v>5</v>
      </c>
      <c r="G160" s="16" t="inlineStr">
        <is>
          <t>A pie</t>
        </is>
      </c>
      <c r="H160" s="16" t="inlineStr">
        <is>
          <t>Mismo cluster</t>
        </is>
      </c>
      <c r="I160" s="16" t="inlineStr">
        <is>
          <t>Estimación geográfica; validar ruta real</t>
        </is>
      </c>
    </row>
    <row r="161" ht="44" customHeight="1">
      <c r="A161" s="16" t="inlineStr">
        <is>
          <t>JP-062</t>
        </is>
      </c>
      <c r="B161" s="16" t="inlineStr">
        <is>
          <t>JP-061</t>
        </is>
      </c>
      <c r="C161" s="16" t="inlineStr">
        <is>
          <t>Eikan-dō</t>
        </is>
      </c>
      <c r="D161" s="16" t="inlineStr">
        <is>
          <t>Murin-an</t>
        </is>
      </c>
      <c r="E161" s="93" t="n">
        <v>0.65</v>
      </c>
      <c r="F161" s="16" t="n">
        <v>9</v>
      </c>
      <c r="G161" s="16" t="inlineStr">
        <is>
          <t>A pie</t>
        </is>
      </c>
      <c r="H161" s="16" t="inlineStr">
        <is>
          <t>Mismo cluster</t>
        </is>
      </c>
      <c r="I161" s="16" t="inlineStr">
        <is>
          <t>Estimación geográfica; validar ruta real</t>
        </is>
      </c>
    </row>
    <row r="162" ht="44" customHeight="1">
      <c r="A162" s="16" t="inlineStr">
        <is>
          <t>JP-062</t>
        </is>
      </c>
      <c r="B162" s="16" t="inlineStr">
        <is>
          <t>JP-064</t>
        </is>
      </c>
      <c r="C162" s="16" t="inlineStr">
        <is>
          <t>Eikan-dō</t>
        </is>
      </c>
      <c r="D162" s="16" t="inlineStr">
        <is>
          <t>Hōnen-in</t>
        </is>
      </c>
      <c r="E162" s="93" t="n">
        <v>0.9399999999999999</v>
      </c>
      <c r="F162" s="16" t="n">
        <v>13</v>
      </c>
      <c r="G162" s="16" t="inlineStr">
        <is>
          <t>A pie</t>
        </is>
      </c>
      <c r="H162" s="16" t="inlineStr">
        <is>
          <t>Mismo cluster</t>
        </is>
      </c>
      <c r="I162" s="16" t="inlineStr">
        <is>
          <t>Estimación geográfica; validar ruta real</t>
        </is>
      </c>
    </row>
    <row r="163" ht="44" customHeight="1">
      <c r="A163" s="16" t="inlineStr">
        <is>
          <t>JP-063</t>
        </is>
      </c>
      <c r="B163" s="16" t="inlineStr">
        <is>
          <t>JP-065</t>
        </is>
      </c>
      <c r="C163" s="16" t="inlineStr">
        <is>
          <t>Philosopher's Path</t>
        </is>
      </c>
      <c r="D163" s="16" t="inlineStr">
        <is>
          <t>Ginkaku-ji</t>
        </is>
      </c>
      <c r="E163" s="93" t="n">
        <v>0.02</v>
      </c>
      <c r="F163" s="16" t="n">
        <v>3</v>
      </c>
      <c r="G163" s="16" t="inlineStr">
        <is>
          <t>A pie</t>
        </is>
      </c>
      <c r="H163" s="16" t="inlineStr">
        <is>
          <t>Mismo cluster</t>
        </is>
      </c>
      <c r="I163" s="16" t="inlineStr">
        <is>
          <t>Estimación geográfica; validar ruta real</t>
        </is>
      </c>
    </row>
    <row r="164" ht="44" customHeight="1">
      <c r="A164" s="16" t="inlineStr">
        <is>
          <t>JP-063</t>
        </is>
      </c>
      <c r="B164" s="16" t="inlineStr">
        <is>
          <t>JP-064</t>
        </is>
      </c>
      <c r="C164" s="16" t="inlineStr">
        <is>
          <t>Philosopher's Path</t>
        </is>
      </c>
      <c r="D164" s="16" t="inlineStr">
        <is>
          <t>Hōnen-in</t>
        </is>
      </c>
      <c r="E164" s="93" t="n">
        <v>0.51</v>
      </c>
      <c r="F164" s="16" t="n">
        <v>7</v>
      </c>
      <c r="G164" s="16" t="inlineStr">
        <is>
          <t>A pie</t>
        </is>
      </c>
      <c r="H164" s="16" t="inlineStr">
        <is>
          <t>Mismo cluster</t>
        </is>
      </c>
      <c r="I164" s="16" t="inlineStr">
        <is>
          <t>Estimación geográfica; validar ruta real</t>
        </is>
      </c>
    </row>
    <row r="165" ht="44" customHeight="1">
      <c r="A165" s="16" t="inlineStr">
        <is>
          <t>JP-063</t>
        </is>
      </c>
      <c r="B165" s="16" t="inlineStr">
        <is>
          <t>JP-062</t>
        </is>
      </c>
      <c r="C165" s="16" t="inlineStr">
        <is>
          <t>Philosopher's Path</t>
        </is>
      </c>
      <c r="D165" s="16" t="inlineStr">
        <is>
          <t>Eikan-dō</t>
        </is>
      </c>
      <c r="E165" s="93" t="n">
        <v>1.42</v>
      </c>
      <c r="F165" s="16" t="n">
        <v>20</v>
      </c>
      <c r="G165" s="16" t="inlineStr">
        <is>
          <t>A pie</t>
        </is>
      </c>
      <c r="H165" s="16" t="inlineStr">
        <is>
          <t>Mismo cluster</t>
        </is>
      </c>
      <c r="I165" s="16" t="inlineStr">
        <is>
          <t>Estimación geográfica; validar ruta real</t>
        </is>
      </c>
    </row>
    <row r="166" ht="44" customHeight="1">
      <c r="A166" s="16" t="inlineStr">
        <is>
          <t>JP-064</t>
        </is>
      </c>
      <c r="B166" s="16" t="inlineStr">
        <is>
          <t>JP-063</t>
        </is>
      </c>
      <c r="C166" s="16" t="inlineStr">
        <is>
          <t>Hōnen-in</t>
        </is>
      </c>
      <c r="D166" s="16" t="inlineStr">
        <is>
          <t>Philosopher's Path</t>
        </is>
      </c>
      <c r="E166" s="93" t="n">
        <v>0.51</v>
      </c>
      <c r="F166" s="16" t="n">
        <v>7</v>
      </c>
      <c r="G166" s="16" t="inlineStr">
        <is>
          <t>A pie</t>
        </is>
      </c>
      <c r="H166" s="16" t="inlineStr">
        <is>
          <t>Mismo cluster</t>
        </is>
      </c>
      <c r="I166" s="16" t="inlineStr">
        <is>
          <t>Estimación geográfica; validar ruta real</t>
        </is>
      </c>
    </row>
    <row r="167" ht="44" customHeight="1">
      <c r="A167" s="16" t="inlineStr">
        <is>
          <t>JP-064</t>
        </is>
      </c>
      <c r="B167" s="16" t="inlineStr">
        <is>
          <t>JP-065</t>
        </is>
      </c>
      <c r="C167" s="16" t="inlineStr">
        <is>
          <t>Hōnen-in</t>
        </is>
      </c>
      <c r="D167" s="16" t="inlineStr">
        <is>
          <t>Ginkaku-ji</t>
        </is>
      </c>
      <c r="E167" s="93" t="n">
        <v>0.53</v>
      </c>
      <c r="F167" s="16" t="n">
        <v>7</v>
      </c>
      <c r="G167" s="16" t="inlineStr">
        <is>
          <t>A pie</t>
        </is>
      </c>
      <c r="H167" s="16" t="inlineStr">
        <is>
          <t>Mismo cluster</t>
        </is>
      </c>
      <c r="I167" s="16" t="inlineStr">
        <is>
          <t>Estimación geográfica; validar ruta real</t>
        </is>
      </c>
    </row>
    <row r="168" ht="44" customHeight="1">
      <c r="A168" s="16" t="inlineStr">
        <is>
          <t>JP-064</t>
        </is>
      </c>
      <c r="B168" s="16" t="inlineStr">
        <is>
          <t>JP-062</t>
        </is>
      </c>
      <c r="C168" s="16" t="inlineStr">
        <is>
          <t>Hōnen-in</t>
        </is>
      </c>
      <c r="D168" s="16" t="inlineStr">
        <is>
          <t>Eikan-dō</t>
        </is>
      </c>
      <c r="E168" s="93" t="n">
        <v>0.9399999999999999</v>
      </c>
      <c r="F168" s="16" t="n">
        <v>13</v>
      </c>
      <c r="G168" s="16" t="inlineStr">
        <is>
          <t>A pie</t>
        </is>
      </c>
      <c r="H168" s="16" t="inlineStr">
        <is>
          <t>Mismo cluster</t>
        </is>
      </c>
      <c r="I168" s="16" t="inlineStr">
        <is>
          <t>Estimación geográfica; validar ruta real</t>
        </is>
      </c>
    </row>
    <row r="169" ht="44" customHeight="1">
      <c r="A169" s="16" t="inlineStr">
        <is>
          <t>JP-065</t>
        </is>
      </c>
      <c r="B169" s="16" t="inlineStr">
        <is>
          <t>JP-063</t>
        </is>
      </c>
      <c r="C169" s="16" t="inlineStr">
        <is>
          <t>Ginkaku-ji</t>
        </is>
      </c>
      <c r="D169" s="16" t="inlineStr">
        <is>
          <t>Philosopher's Path</t>
        </is>
      </c>
      <c r="E169" s="93" t="n">
        <v>0.02</v>
      </c>
      <c r="F169" s="16" t="n">
        <v>3</v>
      </c>
      <c r="G169" s="16" t="inlineStr">
        <is>
          <t>A pie</t>
        </is>
      </c>
      <c r="H169" s="16" t="inlineStr">
        <is>
          <t>Mismo cluster</t>
        </is>
      </c>
      <c r="I169" s="16" t="inlineStr">
        <is>
          <t>Estimación geográfica; validar ruta real</t>
        </is>
      </c>
    </row>
    <row r="170" ht="44" customHeight="1">
      <c r="A170" s="16" t="inlineStr">
        <is>
          <t>JP-065</t>
        </is>
      </c>
      <c r="B170" s="16" t="inlineStr">
        <is>
          <t>JP-064</t>
        </is>
      </c>
      <c r="C170" s="16" t="inlineStr">
        <is>
          <t>Ginkaku-ji</t>
        </is>
      </c>
      <c r="D170" s="16" t="inlineStr">
        <is>
          <t>Hōnen-in</t>
        </is>
      </c>
      <c r="E170" s="93" t="n">
        <v>0.53</v>
      </c>
      <c r="F170" s="16" t="n">
        <v>7</v>
      </c>
      <c r="G170" s="16" t="inlineStr">
        <is>
          <t>A pie</t>
        </is>
      </c>
      <c r="H170" s="16" t="inlineStr">
        <is>
          <t>Mismo cluster</t>
        </is>
      </c>
      <c r="I170" s="16" t="inlineStr">
        <is>
          <t>Estimación geográfica; validar ruta real</t>
        </is>
      </c>
    </row>
    <row r="171" ht="44" customHeight="1">
      <c r="A171" s="16" t="inlineStr">
        <is>
          <t>JP-065</t>
        </is>
      </c>
      <c r="B171" s="16" t="inlineStr">
        <is>
          <t>JP-062</t>
        </is>
      </c>
      <c r="C171" s="16" t="inlineStr">
        <is>
          <t>Ginkaku-ji</t>
        </is>
      </c>
      <c r="D171" s="16" t="inlineStr">
        <is>
          <t>Eikan-dō</t>
        </is>
      </c>
      <c r="E171" s="93" t="n">
        <v>1.44</v>
      </c>
      <c r="F171" s="16" t="n">
        <v>20</v>
      </c>
      <c r="G171" s="16" t="inlineStr">
        <is>
          <t>A pie</t>
        </is>
      </c>
      <c r="H171" s="16" t="inlineStr">
        <is>
          <t>Mismo cluster</t>
        </is>
      </c>
      <c r="I171" s="16" t="inlineStr">
        <is>
          <t>Estimación geográfica; validar ruta real</t>
        </is>
      </c>
    </row>
    <row r="172" ht="44" customHeight="1">
      <c r="A172" s="16" t="inlineStr">
        <is>
          <t>JP-066</t>
        </is>
      </c>
      <c r="B172" s="16" t="inlineStr">
        <is>
          <t>JP-067</t>
        </is>
      </c>
      <c r="C172" s="16" t="inlineStr">
        <is>
          <t>Fushimi Inari Taisha</t>
        </is>
      </c>
      <c r="D172" s="16" t="inlineStr">
        <is>
          <t>Tōfuku-ji</t>
        </is>
      </c>
      <c r="E172" s="93" t="n">
        <v>1.08</v>
      </c>
      <c r="F172" s="16" t="n">
        <v>15</v>
      </c>
      <c r="G172" s="16" t="inlineStr">
        <is>
          <t>A pie</t>
        </is>
      </c>
      <c r="H172" s="16" t="inlineStr">
        <is>
          <t>Cercano</t>
        </is>
      </c>
      <c r="I172" s="16" t="inlineStr">
        <is>
          <t>Estimación geográfica; validar ruta real</t>
        </is>
      </c>
    </row>
    <row r="173" ht="44" customHeight="1">
      <c r="A173" s="16" t="inlineStr">
        <is>
          <t>JP-066</t>
        </is>
      </c>
      <c r="B173" s="16" t="inlineStr">
        <is>
          <t>JP-095</t>
        </is>
      </c>
      <c r="C173" s="16" t="inlineStr">
        <is>
          <t>Fushimi Inari Taisha</t>
        </is>
      </c>
      <c r="D173" s="16" t="inlineStr">
        <is>
          <t>teamLab Biovortex Kyoto</t>
        </is>
      </c>
      <c r="E173" s="93" t="n">
        <v>1.41</v>
      </c>
      <c r="F173" s="16" t="n">
        <v>20</v>
      </c>
      <c r="G173" s="16" t="inlineStr">
        <is>
          <t>A pie</t>
        </is>
      </c>
      <c r="H173" s="16" t="inlineStr">
        <is>
          <t>Cercano</t>
        </is>
      </c>
      <c r="I173" s="16" t="inlineStr">
        <is>
          <t>Estimación geográfica; validar ruta real</t>
        </is>
      </c>
    </row>
    <row r="174" ht="44" customHeight="1">
      <c r="A174" s="16" t="inlineStr">
        <is>
          <t>JP-066</t>
        </is>
      </c>
      <c r="B174" s="16" t="inlineStr">
        <is>
          <t>JP-096</t>
        </is>
      </c>
      <c r="C174" s="16" t="inlineStr">
        <is>
          <t>Fushimi Inari Taisha</t>
        </is>
      </c>
      <c r="D174" s="16" t="inlineStr">
        <is>
          <t>Sanjūsangen-dō</t>
        </is>
      </c>
      <c r="E174" s="93" t="n">
        <v>2.31</v>
      </c>
      <c r="F174" s="16" t="n">
        <v>19</v>
      </c>
      <c r="G174" s="16" t="inlineStr">
        <is>
          <t>Transporte local</t>
        </is>
      </c>
      <c r="H174" s="16" t="inlineStr">
        <is>
          <t>Cercano</t>
        </is>
      </c>
      <c r="I174" s="16" t="inlineStr">
        <is>
          <t>Estimación geográfica; validar ruta real</t>
        </is>
      </c>
    </row>
    <row r="175" ht="44" customHeight="1">
      <c r="A175" s="16" t="inlineStr">
        <is>
          <t>JP-067</t>
        </is>
      </c>
      <c r="B175" s="16" t="inlineStr">
        <is>
          <t>JP-095</t>
        </is>
      </c>
      <c r="C175" s="16" t="inlineStr">
        <is>
          <t>Tōfuku-ji</t>
        </is>
      </c>
      <c r="D175" s="16" t="inlineStr">
        <is>
          <t>teamLab Biovortex Kyoto</t>
        </is>
      </c>
      <c r="E175" s="93" t="n">
        <v>0.6</v>
      </c>
      <c r="F175" s="16" t="n">
        <v>8</v>
      </c>
      <c r="G175" s="16" t="inlineStr">
        <is>
          <t>A pie</t>
        </is>
      </c>
      <c r="H175" s="16" t="inlineStr">
        <is>
          <t>Cercano</t>
        </is>
      </c>
      <c r="I175" s="16" t="inlineStr">
        <is>
          <t>Estimación geográfica; validar ruta real</t>
        </is>
      </c>
    </row>
    <row r="176" ht="44" customHeight="1">
      <c r="A176" s="16" t="inlineStr">
        <is>
          <t>JP-067</t>
        </is>
      </c>
      <c r="B176" s="16" t="inlineStr">
        <is>
          <t>JP-066</t>
        </is>
      </c>
      <c r="C176" s="16" t="inlineStr">
        <is>
          <t>Tōfuku-ji</t>
        </is>
      </c>
      <c r="D176" s="16" t="inlineStr">
        <is>
          <t>Fushimi Inari Taisha</t>
        </is>
      </c>
      <c r="E176" s="93" t="n">
        <v>1.08</v>
      </c>
      <c r="F176" s="16" t="n">
        <v>15</v>
      </c>
      <c r="G176" s="16" t="inlineStr">
        <is>
          <t>A pie</t>
        </is>
      </c>
      <c r="H176" s="16" t="inlineStr">
        <is>
          <t>Cercano</t>
        </is>
      </c>
      <c r="I176" s="16" t="inlineStr">
        <is>
          <t>Estimación geográfica; validar ruta real</t>
        </is>
      </c>
    </row>
    <row r="177" ht="44" customHeight="1">
      <c r="A177" s="16" t="inlineStr">
        <is>
          <t>JP-067</t>
        </is>
      </c>
      <c r="B177" s="16" t="inlineStr">
        <is>
          <t>JP-096</t>
        </is>
      </c>
      <c r="C177" s="16" t="inlineStr">
        <is>
          <t>Tōfuku-ji</t>
        </is>
      </c>
      <c r="D177" s="16" t="inlineStr">
        <is>
          <t>Sanjūsangen-dō</t>
        </is>
      </c>
      <c r="E177" s="93" t="n">
        <v>1.27</v>
      </c>
      <c r="F177" s="16" t="n">
        <v>18</v>
      </c>
      <c r="G177" s="16" t="inlineStr">
        <is>
          <t>A pie</t>
        </is>
      </c>
      <c r="H177" s="16" t="inlineStr">
        <is>
          <t>Cercano</t>
        </is>
      </c>
      <c r="I177" s="16" t="inlineStr">
        <is>
          <t>Estimación geográfica; validar ruta real</t>
        </is>
      </c>
    </row>
    <row r="178" ht="44" customHeight="1">
      <c r="A178" s="16" t="inlineStr">
        <is>
          <t>JP-068</t>
        </is>
      </c>
      <c r="B178" s="16" t="inlineStr">
        <is>
          <t>JP-067</t>
        </is>
      </c>
      <c r="C178" s="16" t="inlineStr">
        <is>
          <t>Fushimi Sake District</t>
        </is>
      </c>
      <c r="D178" s="16" t="inlineStr">
        <is>
          <t>Tōfuku-ji</t>
        </is>
      </c>
      <c r="E178" s="93" t="n">
        <v>5.03</v>
      </c>
      <c r="F178" s="16" t="n">
        <v>40</v>
      </c>
      <c r="G178" s="16" t="inlineStr">
        <is>
          <t>Transporte local</t>
        </is>
      </c>
      <c r="H178" s="16" t="inlineStr">
        <is>
          <t>Mismo cluster</t>
        </is>
      </c>
      <c r="I178" s="16" t="inlineStr">
        <is>
          <t>Estimación geográfica; validar ruta real</t>
        </is>
      </c>
    </row>
    <row r="179" ht="44" customHeight="1">
      <c r="A179" s="16" t="inlineStr">
        <is>
          <t>JP-069</t>
        </is>
      </c>
      <c r="B179" s="16" t="inlineStr">
        <is>
          <t>JP-070</t>
        </is>
      </c>
      <c r="C179" s="16" t="inlineStr">
        <is>
          <t>Bishamon-dō</t>
        </is>
      </c>
      <c r="D179" s="16" t="inlineStr">
        <is>
          <t>Yamashina Canal</t>
        </is>
      </c>
      <c r="E179" s="93" t="n">
        <v>0.36</v>
      </c>
      <c r="F179" s="16" t="n">
        <v>5</v>
      </c>
      <c r="G179" s="16" t="inlineStr">
        <is>
          <t>A pie</t>
        </is>
      </c>
      <c r="H179" s="16" t="inlineStr">
        <is>
          <t>Mismo cluster</t>
        </is>
      </c>
      <c r="I179" s="16" t="inlineStr">
        <is>
          <t>Estimación geográfica; validar ruta real</t>
        </is>
      </c>
    </row>
    <row r="180" ht="44" customHeight="1">
      <c r="A180" s="16" t="inlineStr">
        <is>
          <t>JP-069</t>
        </is>
      </c>
      <c r="B180" s="16" t="inlineStr">
        <is>
          <t>JP-060</t>
        </is>
      </c>
      <c r="C180" s="16" t="inlineStr">
        <is>
          <t>Bishamon-dō</t>
        </is>
      </c>
      <c r="D180" s="16" t="inlineStr">
        <is>
          <t>Nanzen-ji</t>
        </is>
      </c>
      <c r="E180" s="93" t="n">
        <v>2.17</v>
      </c>
      <c r="F180" s="16" t="n">
        <v>17</v>
      </c>
      <c r="G180" s="16" t="inlineStr">
        <is>
          <t>Transporte local</t>
        </is>
      </c>
      <c r="H180" s="16" t="inlineStr">
        <is>
          <t>Cercano</t>
        </is>
      </c>
      <c r="I180" s="16" t="inlineStr">
        <is>
          <t>Estimación geográfica; validar ruta real</t>
        </is>
      </c>
    </row>
    <row r="181" ht="44" customHeight="1">
      <c r="A181" s="16" t="inlineStr">
        <is>
          <t>JP-069</t>
        </is>
      </c>
      <c r="B181" s="16" t="inlineStr">
        <is>
          <t>JP-062</t>
        </is>
      </c>
      <c r="C181" s="16" t="inlineStr">
        <is>
          <t>Bishamon-dō</t>
        </is>
      </c>
      <c r="D181" s="16" t="inlineStr">
        <is>
          <t>Eikan-dō</t>
        </is>
      </c>
      <c r="E181" s="93" t="n">
        <v>2.28</v>
      </c>
      <c r="F181" s="16" t="n">
        <v>18</v>
      </c>
      <c r="G181" s="16" t="inlineStr">
        <is>
          <t>Transporte local</t>
        </is>
      </c>
      <c r="H181" s="16" t="inlineStr">
        <is>
          <t>Cercano</t>
        </is>
      </c>
      <c r="I181" s="16" t="inlineStr">
        <is>
          <t>Estimación geográfica; validar ruta real</t>
        </is>
      </c>
    </row>
    <row r="182" ht="44" customHeight="1">
      <c r="A182" s="16" t="inlineStr">
        <is>
          <t>JP-070</t>
        </is>
      </c>
      <c r="B182" s="16" t="inlineStr">
        <is>
          <t>JP-069</t>
        </is>
      </c>
      <c r="C182" s="16" t="inlineStr">
        <is>
          <t>Yamashina Canal</t>
        </is>
      </c>
      <c r="D182" s="16" t="inlineStr">
        <is>
          <t>Bishamon-dō</t>
        </is>
      </c>
      <c r="E182" s="93" t="n">
        <v>0.36</v>
      </c>
      <c r="F182" s="16" t="n">
        <v>5</v>
      </c>
      <c r="G182" s="16" t="inlineStr">
        <is>
          <t>A pie</t>
        </is>
      </c>
      <c r="H182" s="16" t="inlineStr">
        <is>
          <t>Mismo cluster</t>
        </is>
      </c>
      <c r="I182" s="16" t="inlineStr">
        <is>
          <t>Estimación geográfica; validar ruta real</t>
        </is>
      </c>
    </row>
    <row r="183" ht="44" customHeight="1">
      <c r="A183" s="16" t="inlineStr">
        <is>
          <t>JP-070</t>
        </is>
      </c>
      <c r="B183" s="16" t="inlineStr">
        <is>
          <t>JP-060</t>
        </is>
      </c>
      <c r="C183" s="16" t="inlineStr">
        <is>
          <t>Yamashina Canal</t>
        </is>
      </c>
      <c r="D183" s="16" t="inlineStr">
        <is>
          <t>Nanzen-ji</t>
        </is>
      </c>
      <c r="E183" s="93" t="n">
        <v>1.82</v>
      </c>
      <c r="F183" s="16" t="n">
        <v>15</v>
      </c>
      <c r="G183" s="16" t="inlineStr">
        <is>
          <t>Transporte local</t>
        </is>
      </c>
      <c r="H183" s="16" t="inlineStr">
        <is>
          <t>Cercano</t>
        </is>
      </c>
      <c r="I183" s="16" t="inlineStr">
        <is>
          <t>Estimación geográfica; validar ruta real</t>
        </is>
      </c>
    </row>
    <row r="184" ht="44" customHeight="1">
      <c r="A184" s="16" t="inlineStr">
        <is>
          <t>JP-070</t>
        </is>
      </c>
      <c r="B184" s="16" t="inlineStr">
        <is>
          <t>JP-062</t>
        </is>
      </c>
      <c r="C184" s="16" t="inlineStr">
        <is>
          <t>Yamashina Canal</t>
        </is>
      </c>
      <c r="D184" s="16" t="inlineStr">
        <is>
          <t>Eikan-dō</t>
        </is>
      </c>
      <c r="E184" s="93" t="n">
        <v>1.92</v>
      </c>
      <c r="F184" s="16" t="n">
        <v>15</v>
      </c>
      <c r="G184" s="16" t="inlineStr">
        <is>
          <t>Transporte local</t>
        </is>
      </c>
      <c r="H184" s="16" t="inlineStr">
        <is>
          <t>Cercano</t>
        </is>
      </c>
      <c r="I184" s="16" t="inlineStr">
        <is>
          <t>Estimación geográfica; validar ruta real</t>
        </is>
      </c>
    </row>
    <row r="185" ht="44" customHeight="1">
      <c r="A185" s="16" t="inlineStr">
        <is>
          <t>JP-071</t>
        </is>
      </c>
      <c r="B185" s="16" t="inlineStr">
        <is>
          <t>JP-073</t>
        </is>
      </c>
      <c r="C185" s="16" t="inlineStr">
        <is>
          <t>Arashiyama Bamboo Grove</t>
        </is>
      </c>
      <c r="D185" s="16" t="inlineStr">
        <is>
          <t>Ōkōchi Sansō Garden</t>
        </is>
      </c>
      <c r="E185" s="93" t="n">
        <v>0.22</v>
      </c>
      <c r="F185" s="16" t="n">
        <v>3</v>
      </c>
      <c r="G185" s="16" t="inlineStr">
        <is>
          <t>A pie</t>
        </is>
      </c>
      <c r="H185" s="16" t="inlineStr">
        <is>
          <t>Mismo cluster</t>
        </is>
      </c>
      <c r="I185" s="16" t="inlineStr">
        <is>
          <t>Estimación geográfica; validar ruta real</t>
        </is>
      </c>
    </row>
    <row r="186" ht="44" customHeight="1">
      <c r="A186" s="16" t="inlineStr">
        <is>
          <t>JP-071</t>
        </is>
      </c>
      <c r="B186" s="16" t="inlineStr">
        <is>
          <t>JP-072</t>
        </is>
      </c>
      <c r="C186" s="16" t="inlineStr">
        <is>
          <t>Arashiyama Bamboo Grove</t>
        </is>
      </c>
      <c r="D186" s="16" t="inlineStr">
        <is>
          <t>Tenryū-ji</t>
        </is>
      </c>
      <c r="E186" s="93" t="n">
        <v>0.27</v>
      </c>
      <c r="F186" s="16" t="n">
        <v>4</v>
      </c>
      <c r="G186" s="16" t="inlineStr">
        <is>
          <t>A pie</t>
        </is>
      </c>
      <c r="H186" s="16" t="inlineStr">
        <is>
          <t>Mismo cluster</t>
        </is>
      </c>
      <c r="I186" s="16" t="inlineStr">
        <is>
          <t>Estimación geográfica; validar ruta real</t>
        </is>
      </c>
    </row>
    <row r="187" ht="44" customHeight="1">
      <c r="A187" s="16" t="inlineStr">
        <is>
          <t>JP-071</t>
        </is>
      </c>
      <c r="B187" s="16" t="inlineStr">
        <is>
          <t>JP-074</t>
        </is>
      </c>
      <c r="C187" s="16" t="inlineStr">
        <is>
          <t>Arashiyama Bamboo Grove</t>
        </is>
      </c>
      <c r="D187" s="16" t="inlineStr">
        <is>
          <t>Giō-ji</t>
        </is>
      </c>
      <c r="E187" s="93" t="n">
        <v>0.7</v>
      </c>
      <c r="F187" s="16" t="n">
        <v>10</v>
      </c>
      <c r="G187" s="16" t="inlineStr">
        <is>
          <t>A pie</t>
        </is>
      </c>
      <c r="H187" s="16" t="inlineStr">
        <is>
          <t>Cercano</t>
        </is>
      </c>
      <c r="I187" s="16" t="inlineStr">
        <is>
          <t>Estimación geográfica; validar ruta real</t>
        </is>
      </c>
    </row>
    <row r="188" ht="44" customHeight="1">
      <c r="A188" s="16" t="inlineStr">
        <is>
          <t>JP-072</t>
        </is>
      </c>
      <c r="B188" s="16" t="inlineStr">
        <is>
          <t>JP-071</t>
        </is>
      </c>
      <c r="C188" s="16" t="inlineStr">
        <is>
          <t>Tenryū-ji</t>
        </is>
      </c>
      <c r="D188" s="16" t="inlineStr">
        <is>
          <t>Arashiyama Bamboo Grove</t>
        </is>
      </c>
      <c r="E188" s="93" t="n">
        <v>0.27</v>
      </c>
      <c r="F188" s="16" t="n">
        <v>4</v>
      </c>
      <c r="G188" s="16" t="inlineStr">
        <is>
          <t>A pie</t>
        </is>
      </c>
      <c r="H188" s="16" t="inlineStr">
        <is>
          <t>Mismo cluster</t>
        </is>
      </c>
      <c r="I188" s="16" t="inlineStr">
        <is>
          <t>Estimación geográfica; validar ruta real</t>
        </is>
      </c>
    </row>
    <row r="189" ht="44" customHeight="1">
      <c r="A189" s="16" t="inlineStr">
        <is>
          <t>JP-072</t>
        </is>
      </c>
      <c r="B189" s="16" t="inlineStr">
        <is>
          <t>JP-073</t>
        </is>
      </c>
      <c r="C189" s="16" t="inlineStr">
        <is>
          <t>Tenryū-ji</t>
        </is>
      </c>
      <c r="D189" s="16" t="inlineStr">
        <is>
          <t>Ōkōchi Sansō Garden</t>
        </is>
      </c>
      <c r="E189" s="93" t="n">
        <v>0.46</v>
      </c>
      <c r="F189" s="16" t="n">
        <v>6</v>
      </c>
      <c r="G189" s="16" t="inlineStr">
        <is>
          <t>A pie</t>
        </is>
      </c>
      <c r="H189" s="16" t="inlineStr">
        <is>
          <t>Mismo cluster</t>
        </is>
      </c>
      <c r="I189" s="16" t="inlineStr">
        <is>
          <t>Estimación geográfica; validar ruta real</t>
        </is>
      </c>
    </row>
    <row r="190" ht="44" customHeight="1">
      <c r="A190" s="16" t="inlineStr">
        <is>
          <t>JP-072</t>
        </is>
      </c>
      <c r="B190" s="16" t="inlineStr">
        <is>
          <t>JP-074</t>
        </is>
      </c>
      <c r="C190" s="16" t="inlineStr">
        <is>
          <t>Tenryū-ji</t>
        </is>
      </c>
      <c r="D190" s="16" t="inlineStr">
        <is>
          <t>Giō-ji</t>
        </is>
      </c>
      <c r="E190" s="93" t="n">
        <v>0.96</v>
      </c>
      <c r="F190" s="16" t="n">
        <v>13</v>
      </c>
      <c r="G190" s="16" t="inlineStr">
        <is>
          <t>A pie</t>
        </is>
      </c>
      <c r="H190" s="16" t="inlineStr">
        <is>
          <t>Cercano</t>
        </is>
      </c>
      <c r="I190" s="16" t="inlineStr">
        <is>
          <t>Estimación geográfica; validar ruta real</t>
        </is>
      </c>
    </row>
    <row r="191" ht="44" customHeight="1">
      <c r="A191" s="16" t="inlineStr">
        <is>
          <t>JP-073</t>
        </is>
      </c>
      <c r="B191" s="16" t="inlineStr">
        <is>
          <t>JP-071</t>
        </is>
      </c>
      <c r="C191" s="16" t="inlineStr">
        <is>
          <t>Ōkōchi Sansō Garden</t>
        </is>
      </c>
      <c r="D191" s="16" t="inlineStr">
        <is>
          <t>Arashiyama Bamboo Grove</t>
        </is>
      </c>
      <c r="E191" s="93" t="n">
        <v>0.22</v>
      </c>
      <c r="F191" s="16" t="n">
        <v>3</v>
      </c>
      <c r="G191" s="16" t="inlineStr">
        <is>
          <t>A pie</t>
        </is>
      </c>
      <c r="H191" s="16" t="inlineStr">
        <is>
          <t>Mismo cluster</t>
        </is>
      </c>
      <c r="I191" s="16" t="inlineStr">
        <is>
          <t>Estimación geográfica; validar ruta real</t>
        </is>
      </c>
    </row>
    <row r="192" ht="44" customHeight="1">
      <c r="A192" s="16" t="inlineStr">
        <is>
          <t>JP-073</t>
        </is>
      </c>
      <c r="B192" s="16" t="inlineStr">
        <is>
          <t>JP-072</t>
        </is>
      </c>
      <c r="C192" s="16" t="inlineStr">
        <is>
          <t>Ōkōchi Sansō Garden</t>
        </is>
      </c>
      <c r="D192" s="16" t="inlineStr">
        <is>
          <t>Tenryū-ji</t>
        </is>
      </c>
      <c r="E192" s="93" t="n">
        <v>0.46</v>
      </c>
      <c r="F192" s="16" t="n">
        <v>6</v>
      </c>
      <c r="G192" s="16" t="inlineStr">
        <is>
          <t>A pie</t>
        </is>
      </c>
      <c r="H192" s="16" t="inlineStr">
        <is>
          <t>Mismo cluster</t>
        </is>
      </c>
      <c r="I192" s="16" t="inlineStr">
        <is>
          <t>Estimación geográfica; validar ruta real</t>
        </is>
      </c>
    </row>
    <row r="193" ht="44" customHeight="1">
      <c r="A193" s="16" t="inlineStr">
        <is>
          <t>JP-073</t>
        </is>
      </c>
      <c r="B193" s="16" t="inlineStr">
        <is>
          <t>JP-074</t>
        </is>
      </c>
      <c r="C193" s="16" t="inlineStr">
        <is>
          <t>Ōkōchi Sansō Garden</t>
        </is>
      </c>
      <c r="D193" s="16" t="inlineStr">
        <is>
          <t>Giō-ji</t>
        </is>
      </c>
      <c r="E193" s="93" t="n">
        <v>0.63</v>
      </c>
      <c r="F193" s="16" t="n">
        <v>9</v>
      </c>
      <c r="G193" s="16" t="inlineStr">
        <is>
          <t>A pie</t>
        </is>
      </c>
      <c r="H193" s="16" t="inlineStr">
        <is>
          <t>Cercano</t>
        </is>
      </c>
      <c r="I193" s="16" t="inlineStr">
        <is>
          <t>Estimación geográfica; validar ruta real</t>
        </is>
      </c>
    </row>
    <row r="194" ht="44" customHeight="1">
      <c r="A194" s="16" t="inlineStr">
        <is>
          <t>JP-074</t>
        </is>
      </c>
      <c r="B194" s="16" t="inlineStr">
        <is>
          <t>JP-076</t>
        </is>
      </c>
      <c r="C194" s="16" t="inlineStr">
        <is>
          <t>Giō-ji</t>
        </is>
      </c>
      <c r="D194" s="16" t="inlineStr">
        <is>
          <t>Adashino Nenbutsu-ji</t>
        </is>
      </c>
      <c r="E194" s="93" t="n">
        <v>0.59</v>
      </c>
      <c r="F194" s="16" t="n">
        <v>8</v>
      </c>
      <c r="G194" s="16" t="inlineStr">
        <is>
          <t>A pie</t>
        </is>
      </c>
      <c r="H194" s="16" t="inlineStr">
        <is>
          <t>Mismo cluster</t>
        </is>
      </c>
      <c r="I194" s="16" t="inlineStr">
        <is>
          <t>Estimación geográfica; validar ruta real</t>
        </is>
      </c>
    </row>
    <row r="195" ht="44" customHeight="1">
      <c r="A195" s="16" t="inlineStr">
        <is>
          <t>JP-074</t>
        </is>
      </c>
      <c r="B195" s="16" t="inlineStr">
        <is>
          <t>JP-073</t>
        </is>
      </c>
      <c r="C195" s="16" t="inlineStr">
        <is>
          <t>Giō-ji</t>
        </is>
      </c>
      <c r="D195" s="16" t="inlineStr">
        <is>
          <t>Ōkōchi Sansō Garden</t>
        </is>
      </c>
      <c r="E195" s="93" t="n">
        <v>0.63</v>
      </c>
      <c r="F195" s="16" t="n">
        <v>9</v>
      </c>
      <c r="G195" s="16" t="inlineStr">
        <is>
          <t>A pie</t>
        </is>
      </c>
      <c r="H195" s="16" t="inlineStr">
        <is>
          <t>Cercano</t>
        </is>
      </c>
      <c r="I195" s="16" t="inlineStr">
        <is>
          <t>Estimación geográfica; validar ruta real</t>
        </is>
      </c>
    </row>
    <row r="196" ht="44" customHeight="1">
      <c r="A196" s="16" t="inlineStr">
        <is>
          <t>JP-074</t>
        </is>
      </c>
      <c r="B196" s="16" t="inlineStr">
        <is>
          <t>JP-071</t>
        </is>
      </c>
      <c r="C196" s="16" t="inlineStr">
        <is>
          <t>Giō-ji</t>
        </is>
      </c>
      <c r="D196" s="16" t="inlineStr">
        <is>
          <t>Arashiyama Bamboo Grove</t>
        </is>
      </c>
      <c r="E196" s="93" t="n">
        <v>0.7</v>
      </c>
      <c r="F196" s="16" t="n">
        <v>10</v>
      </c>
      <c r="G196" s="16" t="inlineStr">
        <is>
          <t>A pie</t>
        </is>
      </c>
      <c r="H196" s="16" t="inlineStr">
        <is>
          <t>Cercano</t>
        </is>
      </c>
      <c r="I196" s="16" t="inlineStr">
        <is>
          <t>Estimación geográfica; validar ruta real</t>
        </is>
      </c>
    </row>
    <row r="197" ht="44" customHeight="1">
      <c r="A197" s="16" t="inlineStr">
        <is>
          <t>JP-075</t>
        </is>
      </c>
      <c r="B197" s="16" t="inlineStr">
        <is>
          <t>JP-076</t>
        </is>
      </c>
      <c r="C197" s="16" t="inlineStr">
        <is>
          <t>Otagi Nenbutsu-ji</t>
        </is>
      </c>
      <c r="D197" s="16" t="inlineStr">
        <is>
          <t>Adashino Nenbutsu-ji</t>
        </is>
      </c>
      <c r="E197" s="93" t="n">
        <v>0.5</v>
      </c>
      <c r="F197" s="16" t="n">
        <v>7</v>
      </c>
      <c r="G197" s="16" t="inlineStr">
        <is>
          <t>A pie</t>
        </is>
      </c>
      <c r="H197" s="16" t="inlineStr">
        <is>
          <t>Mismo cluster</t>
        </is>
      </c>
      <c r="I197" s="16" t="inlineStr">
        <is>
          <t>Estimación geográfica; validar ruta real</t>
        </is>
      </c>
    </row>
    <row r="198" ht="44" customHeight="1">
      <c r="A198" s="16" t="inlineStr">
        <is>
          <t>JP-075</t>
        </is>
      </c>
      <c r="B198" s="16" t="inlineStr">
        <is>
          <t>JP-074</t>
        </is>
      </c>
      <c r="C198" s="16" t="inlineStr">
        <is>
          <t>Otagi Nenbutsu-ji</t>
        </is>
      </c>
      <c r="D198" s="16" t="inlineStr">
        <is>
          <t>Giō-ji</t>
        </is>
      </c>
      <c r="E198" s="93" t="n">
        <v>1.09</v>
      </c>
      <c r="F198" s="16" t="n">
        <v>15</v>
      </c>
      <c r="G198" s="16" t="inlineStr">
        <is>
          <t>A pie</t>
        </is>
      </c>
      <c r="H198" s="16" t="inlineStr">
        <is>
          <t>Mismo cluster</t>
        </is>
      </c>
      <c r="I198" s="16" t="inlineStr">
        <is>
          <t>Estimación geográfica; validar ruta real</t>
        </is>
      </c>
    </row>
    <row r="199" ht="44" customHeight="1">
      <c r="A199" s="16" t="inlineStr">
        <is>
          <t>JP-075</t>
        </is>
      </c>
      <c r="B199" s="16" t="inlineStr">
        <is>
          <t>JP-073</t>
        </is>
      </c>
      <c r="C199" s="16" t="inlineStr">
        <is>
          <t>Otagi Nenbutsu-ji</t>
        </is>
      </c>
      <c r="D199" s="16" t="inlineStr">
        <is>
          <t>Ōkōchi Sansō Garden</t>
        </is>
      </c>
      <c r="E199" s="93" t="n">
        <v>1.71</v>
      </c>
      <c r="F199" s="16" t="n">
        <v>24</v>
      </c>
      <c r="G199" s="16" t="inlineStr">
        <is>
          <t>A pie</t>
        </is>
      </c>
      <c r="H199" s="16" t="inlineStr">
        <is>
          <t>Cercano</t>
        </is>
      </c>
      <c r="I199" s="16" t="inlineStr">
        <is>
          <t>Estimación geográfica; validar ruta real</t>
        </is>
      </c>
    </row>
    <row r="200" ht="44" customHeight="1">
      <c r="A200" s="16" t="inlineStr">
        <is>
          <t>JP-076</t>
        </is>
      </c>
      <c r="B200" s="16" t="inlineStr">
        <is>
          <t>JP-075</t>
        </is>
      </c>
      <c r="C200" s="16" t="inlineStr">
        <is>
          <t>Adashino Nenbutsu-ji</t>
        </is>
      </c>
      <c r="D200" s="16" t="inlineStr">
        <is>
          <t>Otagi Nenbutsu-ji</t>
        </is>
      </c>
      <c r="E200" s="93" t="n">
        <v>0.5</v>
      </c>
      <c r="F200" s="16" t="n">
        <v>7</v>
      </c>
      <c r="G200" s="16" t="inlineStr">
        <is>
          <t>A pie</t>
        </is>
      </c>
      <c r="H200" s="16" t="inlineStr">
        <is>
          <t>Mismo cluster</t>
        </is>
      </c>
      <c r="I200" s="16" t="inlineStr">
        <is>
          <t>Estimación geográfica; validar ruta real</t>
        </is>
      </c>
    </row>
    <row r="201" ht="44" customHeight="1">
      <c r="A201" s="16" t="inlineStr">
        <is>
          <t>JP-076</t>
        </is>
      </c>
      <c r="B201" s="16" t="inlineStr">
        <is>
          <t>JP-074</t>
        </is>
      </c>
      <c r="C201" s="16" t="inlineStr">
        <is>
          <t>Adashino Nenbutsu-ji</t>
        </is>
      </c>
      <c r="D201" s="16" t="inlineStr">
        <is>
          <t>Giō-ji</t>
        </is>
      </c>
      <c r="E201" s="93" t="n">
        <v>0.59</v>
      </c>
      <c r="F201" s="16" t="n">
        <v>8</v>
      </c>
      <c r="G201" s="16" t="inlineStr">
        <is>
          <t>A pie</t>
        </is>
      </c>
      <c r="H201" s="16" t="inlineStr">
        <is>
          <t>Mismo cluster</t>
        </is>
      </c>
      <c r="I201" s="16" t="inlineStr">
        <is>
          <t>Estimación geográfica; validar ruta real</t>
        </is>
      </c>
    </row>
    <row r="202" ht="44" customHeight="1">
      <c r="A202" s="16" t="inlineStr">
        <is>
          <t>JP-076</t>
        </is>
      </c>
      <c r="B202" s="16" t="inlineStr">
        <is>
          <t>JP-073</t>
        </is>
      </c>
      <c r="C202" s="16" t="inlineStr">
        <is>
          <t>Adashino Nenbutsu-ji</t>
        </is>
      </c>
      <c r="D202" s="16" t="inlineStr">
        <is>
          <t>Ōkōchi Sansō Garden</t>
        </is>
      </c>
      <c r="E202" s="93" t="n">
        <v>1.21</v>
      </c>
      <c r="F202" s="16" t="n">
        <v>17</v>
      </c>
      <c r="G202" s="16" t="inlineStr">
        <is>
          <t>A pie</t>
        </is>
      </c>
      <c r="H202" s="16" t="inlineStr">
        <is>
          <t>Cercano</t>
        </is>
      </c>
      <c r="I202" s="16" t="inlineStr">
        <is>
          <t>Estimación geográfica; validar ruta real</t>
        </is>
      </c>
    </row>
    <row r="203" ht="44" customHeight="1">
      <c r="A203" s="16" t="inlineStr">
        <is>
          <t>JP-077</t>
        </is>
      </c>
      <c r="B203" s="16" t="inlineStr">
        <is>
          <t>JP-078</t>
        </is>
      </c>
      <c r="C203" s="16" t="inlineStr">
        <is>
          <t>Katsura Imperial Villa</t>
        </is>
      </c>
      <c r="D203" s="16" t="inlineStr">
        <is>
          <t>Saiho-ji (Koke-dera)</t>
        </is>
      </c>
      <c r="E203" s="93" t="n">
        <v>2.37</v>
      </c>
      <c r="F203" s="16" t="n">
        <v>19</v>
      </c>
      <c r="G203" s="16" t="inlineStr">
        <is>
          <t>Transporte local</t>
        </is>
      </c>
      <c r="H203" s="16" t="inlineStr">
        <is>
          <t>Mismo cluster</t>
        </is>
      </c>
      <c r="I203" s="16" t="inlineStr">
        <is>
          <t>Estimación geográfica; validar ruta real</t>
        </is>
      </c>
    </row>
    <row r="204" ht="44" customHeight="1">
      <c r="A204" s="16" t="inlineStr">
        <is>
          <t>JP-077</t>
        </is>
      </c>
      <c r="B204" s="16" t="inlineStr">
        <is>
          <t>JP-079</t>
        </is>
      </c>
      <c r="C204" s="16" t="inlineStr">
        <is>
          <t>Katsura Imperial Villa</t>
        </is>
      </c>
      <c r="D204" s="16" t="inlineStr">
        <is>
          <t>Kyoto Rakusai Bamboo Park</t>
        </is>
      </c>
      <c r="E204" s="93" t="n">
        <v>3.81</v>
      </c>
      <c r="F204" s="16" t="n">
        <v>31</v>
      </c>
      <c r="G204" s="16" t="inlineStr">
        <is>
          <t>Transporte local</t>
        </is>
      </c>
      <c r="H204" s="16" t="inlineStr">
        <is>
          <t>Mismo cluster</t>
        </is>
      </c>
      <c r="I204" s="16" t="inlineStr">
        <is>
          <t>Estimación geográfica; validar ruta real</t>
        </is>
      </c>
    </row>
    <row r="205" ht="44" customHeight="1">
      <c r="A205" s="16" t="inlineStr">
        <is>
          <t>JP-078</t>
        </is>
      </c>
      <c r="B205" s="16" t="inlineStr">
        <is>
          <t>JP-077</t>
        </is>
      </c>
      <c r="C205" s="16" t="inlineStr">
        <is>
          <t>Saiho-ji (Koke-dera)</t>
        </is>
      </c>
      <c r="D205" s="16" t="inlineStr">
        <is>
          <t>Katsura Imperial Villa</t>
        </is>
      </c>
      <c r="E205" s="93" t="n">
        <v>2.37</v>
      </c>
      <c r="F205" s="16" t="n">
        <v>19</v>
      </c>
      <c r="G205" s="16" t="inlineStr">
        <is>
          <t>Transporte local</t>
        </is>
      </c>
      <c r="H205" s="16" t="inlineStr">
        <is>
          <t>Mismo cluster</t>
        </is>
      </c>
      <c r="I205" s="16" t="inlineStr">
        <is>
          <t>Estimación geográfica; validar ruta real</t>
        </is>
      </c>
    </row>
    <row r="206" ht="44" customHeight="1">
      <c r="A206" s="16" t="inlineStr">
        <is>
          <t>JP-078</t>
        </is>
      </c>
      <c r="B206" s="16" t="inlineStr">
        <is>
          <t>JP-079</t>
        </is>
      </c>
      <c r="C206" s="16" t="inlineStr">
        <is>
          <t>Saiho-ji (Koke-dera)</t>
        </is>
      </c>
      <c r="D206" s="16" t="inlineStr">
        <is>
          <t>Kyoto Rakusai Bamboo Park</t>
        </is>
      </c>
      <c r="E206" s="93" t="n">
        <v>3.6</v>
      </c>
      <c r="F206" s="16" t="n">
        <v>29</v>
      </c>
      <c r="G206" s="16" t="inlineStr">
        <is>
          <t>Transporte local</t>
        </is>
      </c>
      <c r="H206" s="16" t="inlineStr">
        <is>
          <t>Mismo cluster</t>
        </is>
      </c>
      <c r="I206" s="16" t="inlineStr">
        <is>
          <t>Estimación geográfica; validar ruta real</t>
        </is>
      </c>
    </row>
    <row r="207" ht="44" customHeight="1">
      <c r="A207" s="16" t="inlineStr">
        <is>
          <t>JP-079</t>
        </is>
      </c>
      <c r="B207" s="16" t="inlineStr">
        <is>
          <t>JP-078</t>
        </is>
      </c>
      <c r="C207" s="16" t="inlineStr">
        <is>
          <t>Kyoto Rakusai Bamboo Park</t>
        </is>
      </c>
      <c r="D207" s="16" t="inlineStr">
        <is>
          <t>Saiho-ji (Koke-dera)</t>
        </is>
      </c>
      <c r="E207" s="93" t="n">
        <v>3.6</v>
      </c>
      <c r="F207" s="16" t="n">
        <v>29</v>
      </c>
      <c r="G207" s="16" t="inlineStr">
        <is>
          <t>Transporte local</t>
        </is>
      </c>
      <c r="H207" s="16" t="inlineStr">
        <is>
          <t>Mismo cluster</t>
        </is>
      </c>
      <c r="I207" s="16" t="inlineStr">
        <is>
          <t>Estimación geográfica; validar ruta real</t>
        </is>
      </c>
    </row>
    <row r="208" ht="44" customHeight="1">
      <c r="A208" s="16" t="inlineStr">
        <is>
          <t>JP-079</t>
        </is>
      </c>
      <c r="B208" s="16" t="inlineStr">
        <is>
          <t>JP-077</t>
        </is>
      </c>
      <c r="C208" s="16" t="inlineStr">
        <is>
          <t>Kyoto Rakusai Bamboo Park</t>
        </is>
      </c>
      <c r="D208" s="16" t="inlineStr">
        <is>
          <t>Katsura Imperial Villa</t>
        </is>
      </c>
      <c r="E208" s="93" t="n">
        <v>3.81</v>
      </c>
      <c r="F208" s="16" t="n">
        <v>31</v>
      </c>
      <c r="G208" s="16" t="inlineStr">
        <is>
          <t>Transporte local</t>
        </is>
      </c>
      <c r="H208" s="16" t="inlineStr">
        <is>
          <t>Mismo cluster</t>
        </is>
      </c>
      <c r="I208" s="16" t="inlineStr">
        <is>
          <t>Estimación geográfica; validar ruta real</t>
        </is>
      </c>
    </row>
    <row r="209" ht="44" customHeight="1">
      <c r="A209" s="16" t="inlineStr">
        <is>
          <t>JP-080</t>
        </is>
      </c>
      <c r="B209" s="16" t="inlineStr">
        <is>
          <t>JP-081</t>
        </is>
      </c>
      <c r="C209" s="16" t="inlineStr">
        <is>
          <t>Kinkaku-ji</t>
        </is>
      </c>
      <c r="D209" s="16" t="inlineStr">
        <is>
          <t>Ryōan-ji</t>
        </is>
      </c>
      <c r="E209" s="93" t="n">
        <v>1.13</v>
      </c>
      <c r="F209" s="16" t="n">
        <v>16</v>
      </c>
      <c r="G209" s="16" t="inlineStr">
        <is>
          <t>A pie</t>
        </is>
      </c>
      <c r="H209" s="16" t="inlineStr">
        <is>
          <t>Mismo cluster</t>
        </is>
      </c>
      <c r="I209" s="16" t="inlineStr">
        <is>
          <t>Estimación geográfica; validar ruta real</t>
        </is>
      </c>
    </row>
    <row r="210" ht="44" customHeight="1">
      <c r="A210" s="16" t="inlineStr">
        <is>
          <t>JP-080</t>
        </is>
      </c>
      <c r="B210" s="16" t="inlineStr">
        <is>
          <t>JP-083</t>
        </is>
      </c>
      <c r="C210" s="16" t="inlineStr">
        <is>
          <t>Kinkaku-ji</t>
        </is>
      </c>
      <c r="D210" s="16" t="inlineStr">
        <is>
          <t>Genkō-an</t>
        </is>
      </c>
      <c r="E210" s="93" t="n">
        <v>1.53</v>
      </c>
      <c r="F210" s="16" t="n">
        <v>21</v>
      </c>
      <c r="G210" s="16" t="inlineStr">
        <is>
          <t>A pie</t>
        </is>
      </c>
      <c r="H210" s="16" t="inlineStr">
        <is>
          <t>Mismo cluster</t>
        </is>
      </c>
      <c r="I210" s="16" t="inlineStr">
        <is>
          <t>Estimación geográfica; validar ruta real</t>
        </is>
      </c>
    </row>
    <row r="211" ht="44" customHeight="1">
      <c r="A211" s="16" t="inlineStr">
        <is>
          <t>JP-080</t>
        </is>
      </c>
      <c r="B211" s="16" t="inlineStr">
        <is>
          <t>JP-082</t>
        </is>
      </c>
      <c r="C211" s="16" t="inlineStr">
        <is>
          <t>Kinkaku-ji</t>
        </is>
      </c>
      <c r="D211" s="16" t="inlineStr">
        <is>
          <t>Daitoku-ji subtemples</t>
        </is>
      </c>
      <c r="E211" s="93" t="n">
        <v>1.64</v>
      </c>
      <c r="F211" s="16" t="n">
        <v>23</v>
      </c>
      <c r="G211" s="16" t="inlineStr">
        <is>
          <t>A pie</t>
        </is>
      </c>
      <c r="H211" s="16" t="inlineStr">
        <is>
          <t>Mismo cluster</t>
        </is>
      </c>
      <c r="I211" s="16" t="inlineStr">
        <is>
          <t>Estimación geográfica; validar ruta real</t>
        </is>
      </c>
    </row>
    <row r="212" ht="44" customHeight="1">
      <c r="A212" s="16" t="inlineStr">
        <is>
          <t>JP-081</t>
        </is>
      </c>
      <c r="B212" s="16" t="inlineStr">
        <is>
          <t>JP-080</t>
        </is>
      </c>
      <c r="C212" s="16" t="inlineStr">
        <is>
          <t>Ryōan-ji</t>
        </is>
      </c>
      <c r="D212" s="16" t="inlineStr">
        <is>
          <t>Kinkaku-ji</t>
        </is>
      </c>
      <c r="E212" s="93" t="n">
        <v>1.13</v>
      </c>
      <c r="F212" s="16" t="n">
        <v>16</v>
      </c>
      <c r="G212" s="16" t="inlineStr">
        <is>
          <t>A pie</t>
        </is>
      </c>
      <c r="H212" s="16" t="inlineStr">
        <is>
          <t>Mismo cluster</t>
        </is>
      </c>
      <c r="I212" s="16" t="inlineStr">
        <is>
          <t>Estimación geográfica; validar ruta real</t>
        </is>
      </c>
    </row>
    <row r="213" ht="44" customHeight="1">
      <c r="A213" s="16" t="inlineStr">
        <is>
          <t>JP-081</t>
        </is>
      </c>
      <c r="B213" s="16" t="inlineStr">
        <is>
          <t>JP-100</t>
        </is>
      </c>
      <c r="C213" s="16" t="inlineStr">
        <is>
          <t>Ryōan-ji</t>
        </is>
      </c>
      <c r="D213" s="16" t="inlineStr">
        <is>
          <t>Uzumasa Kyoto Village / Toei Kyoto Studio Park</t>
        </is>
      </c>
      <c r="E213" s="93" t="n">
        <v>2.21</v>
      </c>
      <c r="F213" s="16" t="n">
        <v>18</v>
      </c>
      <c r="G213" s="16" t="inlineStr">
        <is>
          <t>Transporte local</t>
        </is>
      </c>
      <c r="H213" s="16" t="inlineStr">
        <is>
          <t>Cercano</t>
        </is>
      </c>
      <c r="I213" s="16" t="inlineStr">
        <is>
          <t>Estimación geográfica; validar ruta real</t>
        </is>
      </c>
    </row>
    <row r="214" ht="44" customHeight="1">
      <c r="A214" s="16" t="inlineStr">
        <is>
          <t>JP-081</t>
        </is>
      </c>
      <c r="B214" s="16" t="inlineStr">
        <is>
          <t>JP-083</t>
        </is>
      </c>
      <c r="C214" s="16" t="inlineStr">
        <is>
          <t>Ryōan-ji</t>
        </is>
      </c>
      <c r="D214" s="16" t="inlineStr">
        <is>
          <t>Genkō-an</t>
        </is>
      </c>
      <c r="E214" s="93" t="n">
        <v>2.54</v>
      </c>
      <c r="F214" s="16" t="n">
        <v>20</v>
      </c>
      <c r="G214" s="16" t="inlineStr">
        <is>
          <t>Transporte local</t>
        </is>
      </c>
      <c r="H214" s="16" t="inlineStr">
        <is>
          <t>Mismo cluster</t>
        </is>
      </c>
      <c r="I214" s="16" t="inlineStr">
        <is>
          <t>Estimación geográfica; validar ruta real</t>
        </is>
      </c>
    </row>
    <row r="215" ht="44" customHeight="1">
      <c r="A215" s="16" t="inlineStr">
        <is>
          <t>JP-082</t>
        </is>
      </c>
      <c r="B215" s="16" t="inlineStr">
        <is>
          <t>JP-083</t>
        </is>
      </c>
      <c r="C215" s="16" t="inlineStr">
        <is>
          <t>Daitoku-ji subtemples</t>
        </is>
      </c>
      <c r="D215" s="16" t="inlineStr">
        <is>
          <t>Genkō-an</t>
        </is>
      </c>
      <c r="E215" s="93" t="n">
        <v>1.28</v>
      </c>
      <c r="F215" s="16" t="n">
        <v>18</v>
      </c>
      <c r="G215" s="16" t="inlineStr">
        <is>
          <t>A pie</t>
        </is>
      </c>
      <c r="H215" s="16" t="inlineStr">
        <is>
          <t>Mismo cluster</t>
        </is>
      </c>
      <c r="I215" s="16" t="inlineStr">
        <is>
          <t>Estimación geográfica; validar ruta real</t>
        </is>
      </c>
    </row>
    <row r="216" ht="44" customHeight="1">
      <c r="A216" s="16" t="inlineStr">
        <is>
          <t>JP-082</t>
        </is>
      </c>
      <c r="B216" s="16" t="inlineStr">
        <is>
          <t>JP-080</t>
        </is>
      </c>
      <c r="C216" s="16" t="inlineStr">
        <is>
          <t>Daitoku-ji subtemples</t>
        </is>
      </c>
      <c r="D216" s="16" t="inlineStr">
        <is>
          <t>Kinkaku-ji</t>
        </is>
      </c>
      <c r="E216" s="93" t="n">
        <v>1.64</v>
      </c>
      <c r="F216" s="16" t="n">
        <v>23</v>
      </c>
      <c r="G216" s="16" t="inlineStr">
        <is>
          <t>A pie</t>
        </is>
      </c>
      <c r="H216" s="16" t="inlineStr">
        <is>
          <t>Mismo cluster</t>
        </is>
      </c>
      <c r="I216" s="16" t="inlineStr">
        <is>
          <t>Estimación geográfica; validar ruta real</t>
        </is>
      </c>
    </row>
    <row r="217" ht="44" customHeight="1">
      <c r="A217" s="16" t="inlineStr">
        <is>
          <t>JP-082</t>
        </is>
      </c>
      <c r="B217" s="16" t="inlineStr">
        <is>
          <t>JP-081</t>
        </is>
      </c>
      <c r="C217" s="16" t="inlineStr">
        <is>
          <t>Daitoku-ji subtemples</t>
        </is>
      </c>
      <c r="D217" s="16" t="inlineStr">
        <is>
          <t>Ryōan-ji</t>
        </is>
      </c>
      <c r="E217" s="93" t="n">
        <v>2.76</v>
      </c>
      <c r="F217" s="16" t="n">
        <v>22</v>
      </c>
      <c r="G217" s="16" t="inlineStr">
        <is>
          <t>Transporte local</t>
        </is>
      </c>
      <c r="H217" s="16" t="inlineStr">
        <is>
          <t>Mismo cluster</t>
        </is>
      </c>
      <c r="I217" s="16" t="inlineStr">
        <is>
          <t>Estimación geográfica; validar ruta real</t>
        </is>
      </c>
    </row>
    <row r="218" ht="44" customHeight="1">
      <c r="A218" s="16" t="inlineStr">
        <is>
          <t>JP-083</t>
        </is>
      </c>
      <c r="B218" s="16" t="inlineStr">
        <is>
          <t>JP-082</t>
        </is>
      </c>
      <c r="C218" s="16" t="inlineStr">
        <is>
          <t>Genkō-an</t>
        </is>
      </c>
      <c r="D218" s="16" t="inlineStr">
        <is>
          <t>Daitoku-ji subtemples</t>
        </is>
      </c>
      <c r="E218" s="93" t="n">
        <v>1.28</v>
      </c>
      <c r="F218" s="16" t="n">
        <v>18</v>
      </c>
      <c r="G218" s="16" t="inlineStr">
        <is>
          <t>A pie</t>
        </is>
      </c>
      <c r="H218" s="16" t="inlineStr">
        <is>
          <t>Mismo cluster</t>
        </is>
      </c>
      <c r="I218" s="16" t="inlineStr">
        <is>
          <t>Estimación geográfica; validar ruta real</t>
        </is>
      </c>
    </row>
    <row r="219" ht="44" customHeight="1">
      <c r="A219" s="16" t="inlineStr">
        <is>
          <t>JP-083</t>
        </is>
      </c>
      <c r="B219" s="16" t="inlineStr">
        <is>
          <t>JP-080</t>
        </is>
      </c>
      <c r="C219" s="16" t="inlineStr">
        <is>
          <t>Genkō-an</t>
        </is>
      </c>
      <c r="D219" s="16" t="inlineStr">
        <is>
          <t>Kinkaku-ji</t>
        </is>
      </c>
      <c r="E219" s="93" t="n">
        <v>1.53</v>
      </c>
      <c r="F219" s="16" t="n">
        <v>21</v>
      </c>
      <c r="G219" s="16" t="inlineStr">
        <is>
          <t>A pie</t>
        </is>
      </c>
      <c r="H219" s="16" t="inlineStr">
        <is>
          <t>Mismo cluster</t>
        </is>
      </c>
      <c r="I219" s="16" t="inlineStr">
        <is>
          <t>Estimación geográfica; validar ruta real</t>
        </is>
      </c>
    </row>
    <row r="220" ht="44" customHeight="1">
      <c r="A220" s="16" t="inlineStr">
        <is>
          <t>JP-083</t>
        </is>
      </c>
      <c r="B220" s="16" t="inlineStr">
        <is>
          <t>JP-081</t>
        </is>
      </c>
      <c r="C220" s="16" t="inlineStr">
        <is>
          <t>Genkō-an</t>
        </is>
      </c>
      <c r="D220" s="16" t="inlineStr">
        <is>
          <t>Ryōan-ji</t>
        </is>
      </c>
      <c r="E220" s="93" t="n">
        <v>2.54</v>
      </c>
      <c r="F220" s="16" t="n">
        <v>20</v>
      </c>
      <c r="G220" s="16" t="inlineStr">
        <is>
          <t>Transporte local</t>
        </is>
      </c>
      <c r="H220" s="16" t="inlineStr">
        <is>
          <t>Mismo cluster</t>
        </is>
      </c>
      <c r="I220" s="16" t="inlineStr">
        <is>
          <t>Estimación geográfica; validar ruta real</t>
        </is>
      </c>
    </row>
    <row r="221" ht="44" customHeight="1">
      <c r="A221" s="16" t="inlineStr">
        <is>
          <t>JP-084</t>
        </is>
      </c>
      <c r="B221" s="16" t="inlineStr">
        <is>
          <t>JP-065</t>
        </is>
      </c>
      <c r="C221" s="16" t="inlineStr">
        <is>
          <t>Shisen-dō</t>
        </is>
      </c>
      <c r="D221" s="16" t="inlineStr">
        <is>
          <t>Ginkaku-ji</t>
        </is>
      </c>
      <c r="E221" s="93" t="n">
        <v>1.79</v>
      </c>
      <c r="F221" s="16" t="n">
        <v>25</v>
      </c>
      <c r="G221" s="16" t="inlineStr">
        <is>
          <t>A pie</t>
        </is>
      </c>
      <c r="H221" s="16" t="inlineStr">
        <is>
          <t>Cercano</t>
        </is>
      </c>
      <c r="I221" s="16" t="inlineStr">
        <is>
          <t>Estimación geográfica; validar ruta real</t>
        </is>
      </c>
    </row>
    <row r="222" ht="44" customHeight="1">
      <c r="A222" s="16" t="inlineStr">
        <is>
          <t>JP-084</t>
        </is>
      </c>
      <c r="B222" s="16" t="inlineStr">
        <is>
          <t>JP-063</t>
        </is>
      </c>
      <c r="C222" s="16" t="inlineStr">
        <is>
          <t>Shisen-dō</t>
        </is>
      </c>
      <c r="D222" s="16" t="inlineStr">
        <is>
          <t>Philosopher's Path</t>
        </is>
      </c>
      <c r="E222" s="93" t="n">
        <v>1.81</v>
      </c>
      <c r="F222" s="16" t="n">
        <v>14</v>
      </c>
      <c r="G222" s="16" t="inlineStr">
        <is>
          <t>Transporte local</t>
        </is>
      </c>
      <c r="H222" s="16" t="inlineStr">
        <is>
          <t>Cercano</t>
        </is>
      </c>
      <c r="I222" s="16" t="inlineStr">
        <is>
          <t>Estimación geográfica; validar ruta real</t>
        </is>
      </c>
    </row>
    <row r="223" ht="44" customHeight="1">
      <c r="A223" s="16" t="inlineStr">
        <is>
          <t>JP-084</t>
        </is>
      </c>
      <c r="B223" s="16" t="inlineStr">
        <is>
          <t>JP-064</t>
        </is>
      </c>
      <c r="C223" s="16" t="inlineStr">
        <is>
          <t>Shisen-dō</t>
        </is>
      </c>
      <c r="D223" s="16" t="inlineStr">
        <is>
          <t>Hōnen-in</t>
        </is>
      </c>
      <c r="E223" s="93" t="n">
        <v>2.32</v>
      </c>
      <c r="F223" s="16" t="n">
        <v>19</v>
      </c>
      <c r="G223" s="16" t="inlineStr">
        <is>
          <t>Transporte local</t>
        </is>
      </c>
      <c r="H223" s="16" t="inlineStr">
        <is>
          <t>Cercano</t>
        </is>
      </c>
      <c r="I223" s="16" t="inlineStr">
        <is>
          <t>Estimación geográfica; validar ruta real</t>
        </is>
      </c>
    </row>
    <row r="224" ht="44" customHeight="1">
      <c r="A224" s="16" t="inlineStr">
        <is>
          <t>JP-086</t>
        </is>
      </c>
      <c r="B224" s="16" t="inlineStr">
        <is>
          <t>JP-087</t>
        </is>
      </c>
      <c r="C224" s="16" t="inlineStr">
        <is>
          <t>Sanzen-in</t>
        </is>
      </c>
      <c r="D224" s="16" t="inlineStr">
        <is>
          <t>Hōsen-in</t>
        </is>
      </c>
      <c r="E224" s="93" t="n">
        <v>0.17</v>
      </c>
      <c r="F224" s="16" t="n">
        <v>3</v>
      </c>
      <c r="G224" s="16" t="inlineStr">
        <is>
          <t>A pie</t>
        </is>
      </c>
      <c r="H224" s="16" t="inlineStr">
        <is>
          <t>Mismo cluster</t>
        </is>
      </c>
      <c r="I224" s="16" t="inlineStr">
        <is>
          <t>Estimación geográfica; validar ruta real</t>
        </is>
      </c>
    </row>
    <row r="225" ht="44" customHeight="1">
      <c r="A225" s="16" t="inlineStr">
        <is>
          <t>JP-087</t>
        </is>
      </c>
      <c r="B225" s="16" t="inlineStr">
        <is>
          <t>JP-086</t>
        </is>
      </c>
      <c r="C225" s="16" t="inlineStr">
        <is>
          <t>Hōsen-in</t>
        </is>
      </c>
      <c r="D225" s="16" t="inlineStr">
        <is>
          <t>Sanzen-in</t>
        </is>
      </c>
      <c r="E225" s="93" t="n">
        <v>0.17</v>
      </c>
      <c r="F225" s="16" t="n">
        <v>3</v>
      </c>
      <c r="G225" s="16" t="inlineStr">
        <is>
          <t>A pie</t>
        </is>
      </c>
      <c r="H225" s="16" t="inlineStr">
        <is>
          <t>Mismo cluster</t>
        </is>
      </c>
      <c r="I225" s="16" t="inlineStr">
        <is>
          <t>Estimación geográfica; validar ruta real</t>
        </is>
      </c>
    </row>
    <row r="226" ht="44" customHeight="1">
      <c r="A226" s="16" t="inlineStr">
        <is>
          <t>JP-089</t>
        </is>
      </c>
      <c r="B226" s="16" t="inlineStr">
        <is>
          <t>JP-092</t>
        </is>
      </c>
      <c r="C226" s="16" t="inlineStr">
        <is>
          <t>Nijō Castle</t>
        </is>
      </c>
      <c r="D226" s="16" t="inlineStr">
        <is>
          <t>Kyoto International Manga Museum</t>
        </is>
      </c>
      <c r="E226" s="93" t="n">
        <v>1.12</v>
      </c>
      <c r="F226" s="16" t="n">
        <v>16</v>
      </c>
      <c r="G226" s="16" t="inlineStr">
        <is>
          <t>A pie</t>
        </is>
      </c>
      <c r="H226" s="16" t="inlineStr">
        <is>
          <t>Mismo cluster</t>
        </is>
      </c>
      <c r="I226" s="16" t="inlineStr">
        <is>
          <t>Estimación geográfica; validar ruta real</t>
        </is>
      </c>
    </row>
    <row r="227" ht="44" customHeight="1">
      <c r="A227" s="16" t="inlineStr">
        <is>
          <t>JP-089</t>
        </is>
      </c>
      <c r="B227" s="16" t="inlineStr">
        <is>
          <t>JP-090</t>
        </is>
      </c>
      <c r="C227" s="16" t="inlineStr">
        <is>
          <t>Nijō Castle</t>
        </is>
      </c>
      <c r="D227" s="16" t="inlineStr">
        <is>
          <t>Kyoto Imperial Palace</t>
        </is>
      </c>
      <c r="E227" s="93" t="n">
        <v>1.78</v>
      </c>
      <c r="F227" s="16" t="n">
        <v>25</v>
      </c>
      <c r="G227" s="16" t="inlineStr">
        <is>
          <t>A pie</t>
        </is>
      </c>
      <c r="H227" s="16" t="inlineStr">
        <is>
          <t>Mismo cluster</t>
        </is>
      </c>
      <c r="I227" s="16" t="inlineStr">
        <is>
          <t>Estimación geográfica; validar ruta real</t>
        </is>
      </c>
    </row>
    <row r="228" ht="44" customHeight="1">
      <c r="A228" s="16" t="inlineStr">
        <is>
          <t>JP-089</t>
        </is>
      </c>
      <c r="B228" s="16" t="inlineStr">
        <is>
          <t>JP-091</t>
        </is>
      </c>
      <c r="C228" s="16" t="inlineStr">
        <is>
          <t>Nijō Castle</t>
        </is>
      </c>
      <c r="D228" s="16" t="inlineStr">
        <is>
          <t>Nishiki Market</t>
        </is>
      </c>
      <c r="E228" s="93" t="n">
        <v>1.83</v>
      </c>
      <c r="F228" s="16" t="n">
        <v>15</v>
      </c>
      <c r="G228" s="16" t="inlineStr">
        <is>
          <t>Transporte local</t>
        </is>
      </c>
      <c r="H228" s="16" t="inlineStr">
        <is>
          <t>Mismo cluster</t>
        </is>
      </c>
      <c r="I228" s="16" t="inlineStr">
        <is>
          <t>Estimación geográfica; validar ruta real</t>
        </is>
      </c>
    </row>
    <row r="229" ht="44" customHeight="1">
      <c r="A229" s="16" t="inlineStr">
        <is>
          <t>JP-090</t>
        </is>
      </c>
      <c r="B229" s="16" t="inlineStr">
        <is>
          <t>JP-102</t>
        </is>
      </c>
      <c r="C229" s="16" t="inlineStr">
        <is>
          <t>Kyoto Imperial Palace</t>
        </is>
      </c>
      <c r="D229" s="16" t="inlineStr">
        <is>
          <t>Demachi Masugata Shopping Arcade</t>
        </is>
      </c>
      <c r="E229" s="93" t="n">
        <v>0.85</v>
      </c>
      <c r="F229" s="16" t="n">
        <v>12</v>
      </c>
      <c r="G229" s="16" t="inlineStr">
        <is>
          <t>A pie</t>
        </is>
      </c>
      <c r="H229" s="16" t="inlineStr">
        <is>
          <t>Cercano</t>
        </is>
      </c>
      <c r="I229" s="16" t="inlineStr">
        <is>
          <t>Estimación geográfica; validar ruta real</t>
        </is>
      </c>
    </row>
    <row r="230" ht="44" customHeight="1">
      <c r="A230" s="16" t="inlineStr">
        <is>
          <t>JP-090</t>
        </is>
      </c>
      <c r="B230" s="16" t="inlineStr">
        <is>
          <t>JP-092</t>
        </is>
      </c>
      <c r="C230" s="16" t="inlineStr">
        <is>
          <t>Kyoto Imperial Palace</t>
        </is>
      </c>
      <c r="D230" s="16" t="inlineStr">
        <is>
          <t>Kyoto International Manga Museum</t>
        </is>
      </c>
      <c r="E230" s="93" t="n">
        <v>1.71</v>
      </c>
      <c r="F230" s="16" t="n">
        <v>24</v>
      </c>
      <c r="G230" s="16" t="inlineStr">
        <is>
          <t>A pie</t>
        </is>
      </c>
      <c r="H230" s="16" t="inlineStr">
        <is>
          <t>Mismo cluster</t>
        </is>
      </c>
      <c r="I230" s="16" t="inlineStr">
        <is>
          <t>Estimación geográfica; validar ruta real</t>
        </is>
      </c>
    </row>
    <row r="231" ht="44" customHeight="1">
      <c r="A231" s="16" t="inlineStr">
        <is>
          <t>JP-090</t>
        </is>
      </c>
      <c r="B231" s="16" t="inlineStr">
        <is>
          <t>JP-089</t>
        </is>
      </c>
      <c r="C231" s="16" t="inlineStr">
        <is>
          <t>Kyoto Imperial Palace</t>
        </is>
      </c>
      <c r="D231" s="16" t="inlineStr">
        <is>
          <t>Nijō Castle</t>
        </is>
      </c>
      <c r="E231" s="93" t="n">
        <v>1.78</v>
      </c>
      <c r="F231" s="16" t="n">
        <v>25</v>
      </c>
      <c r="G231" s="16" t="inlineStr">
        <is>
          <t>A pie</t>
        </is>
      </c>
      <c r="H231" s="16" t="inlineStr">
        <is>
          <t>Mismo cluster</t>
        </is>
      </c>
      <c r="I231" s="16" t="inlineStr">
        <is>
          <t>Estimación geográfica; validar ruta real</t>
        </is>
      </c>
    </row>
    <row r="232" ht="44" customHeight="1">
      <c r="A232" s="16" t="inlineStr">
        <is>
          <t>JP-091</t>
        </is>
      </c>
      <c r="B232" s="16" t="inlineStr">
        <is>
          <t>JP-092</t>
        </is>
      </c>
      <c r="C232" s="16" t="inlineStr">
        <is>
          <t>Nishiki Market</t>
        </is>
      </c>
      <c r="D232" s="16" t="inlineStr">
        <is>
          <t>Kyoto International Manga Museum</t>
        </is>
      </c>
      <c r="E232" s="93" t="n">
        <v>0.76</v>
      </c>
      <c r="F232" s="16" t="n">
        <v>11</v>
      </c>
      <c r="G232" s="16" t="inlineStr">
        <is>
          <t>A pie</t>
        </is>
      </c>
      <c r="H232" s="16" t="inlineStr">
        <is>
          <t>Mismo cluster</t>
        </is>
      </c>
      <c r="I232" s="16" t="inlineStr">
        <is>
          <t>Estimación geográfica; validar ruta real</t>
        </is>
      </c>
    </row>
    <row r="233" ht="44" customHeight="1">
      <c r="A233" s="16" t="inlineStr">
        <is>
          <t>JP-091</t>
        </is>
      </c>
      <c r="B233" s="16" t="inlineStr">
        <is>
          <t>JP-057</t>
        </is>
      </c>
      <c r="C233" s="16" t="inlineStr">
        <is>
          <t>Nishiki Market</t>
        </is>
      </c>
      <c r="D233" s="16" t="inlineStr">
        <is>
          <t>Gion Shirakawa</t>
        </is>
      </c>
      <c r="E233" s="93" t="n">
        <v>0.77</v>
      </c>
      <c r="F233" s="16" t="n">
        <v>11</v>
      </c>
      <c r="G233" s="16" t="inlineStr">
        <is>
          <t>A pie</t>
        </is>
      </c>
      <c r="H233" s="16" t="inlineStr">
        <is>
          <t>Cercano</t>
        </is>
      </c>
      <c r="I233" s="16" t="inlineStr">
        <is>
          <t>Estimación geográfica; validar ruta real</t>
        </is>
      </c>
    </row>
    <row r="234" ht="44" customHeight="1">
      <c r="A234" s="16" t="inlineStr">
        <is>
          <t>JP-091</t>
        </is>
      </c>
      <c r="B234" s="16" t="inlineStr">
        <is>
          <t>JP-058</t>
        </is>
      </c>
      <c r="C234" s="16" t="inlineStr">
        <is>
          <t>Nishiki Market</t>
        </is>
      </c>
      <c r="D234" s="16" t="inlineStr">
        <is>
          <t>Kennin-ji</t>
        </is>
      </c>
      <c r="E234" s="93" t="n">
        <v>0.95</v>
      </c>
      <c r="F234" s="16" t="n">
        <v>13</v>
      </c>
      <c r="G234" s="16" t="inlineStr">
        <is>
          <t>A pie</t>
        </is>
      </c>
      <c r="H234" s="16" t="inlineStr">
        <is>
          <t>Cercano</t>
        </is>
      </c>
      <c r="I234" s="16" t="inlineStr">
        <is>
          <t>Estimación geográfica; validar ruta real</t>
        </is>
      </c>
    </row>
    <row r="235" ht="44" customHeight="1">
      <c r="A235" s="16" t="inlineStr">
        <is>
          <t>JP-092</t>
        </is>
      </c>
      <c r="B235" s="16" t="inlineStr">
        <is>
          <t>JP-091</t>
        </is>
      </c>
      <c r="C235" s="16" t="inlineStr">
        <is>
          <t>Kyoto International Manga Museum</t>
        </is>
      </c>
      <c r="D235" s="16" t="inlineStr">
        <is>
          <t>Nishiki Market</t>
        </is>
      </c>
      <c r="E235" s="93" t="n">
        <v>0.76</v>
      </c>
      <c r="F235" s="16" t="n">
        <v>11</v>
      </c>
      <c r="G235" s="16" t="inlineStr">
        <is>
          <t>A pie</t>
        </is>
      </c>
      <c r="H235" s="16" t="inlineStr">
        <is>
          <t>Mismo cluster</t>
        </is>
      </c>
      <c r="I235" s="16" t="inlineStr">
        <is>
          <t>Estimación geográfica; validar ruta real</t>
        </is>
      </c>
    </row>
    <row r="236" ht="44" customHeight="1">
      <c r="A236" s="16" t="inlineStr">
        <is>
          <t>JP-092</t>
        </is>
      </c>
      <c r="B236" s="16" t="inlineStr">
        <is>
          <t>JP-089</t>
        </is>
      </c>
      <c r="C236" s="16" t="inlineStr">
        <is>
          <t>Kyoto International Manga Museum</t>
        </is>
      </c>
      <c r="D236" s="16" t="inlineStr">
        <is>
          <t>Nijō Castle</t>
        </is>
      </c>
      <c r="E236" s="93" t="n">
        <v>1.12</v>
      </c>
      <c r="F236" s="16" t="n">
        <v>16</v>
      </c>
      <c r="G236" s="16" t="inlineStr">
        <is>
          <t>A pie</t>
        </is>
      </c>
      <c r="H236" s="16" t="inlineStr">
        <is>
          <t>Mismo cluster</t>
        </is>
      </c>
      <c r="I236" s="16" t="inlineStr">
        <is>
          <t>Estimación geográfica; validar ruta real</t>
        </is>
      </c>
    </row>
    <row r="237" ht="44" customHeight="1">
      <c r="A237" s="16" t="inlineStr">
        <is>
          <t>JP-092</t>
        </is>
      </c>
      <c r="B237" s="16" t="inlineStr">
        <is>
          <t>JP-057</t>
        </is>
      </c>
      <c r="C237" s="16" t="inlineStr">
        <is>
          <t>Kyoto International Manga Museum</t>
        </is>
      </c>
      <c r="D237" s="16" t="inlineStr">
        <is>
          <t>Gion Shirakawa</t>
        </is>
      </c>
      <c r="E237" s="93" t="n">
        <v>1.37</v>
      </c>
      <c r="F237" s="16" t="n">
        <v>19</v>
      </c>
      <c r="G237" s="16" t="inlineStr">
        <is>
          <t>A pie</t>
        </is>
      </c>
      <c r="H237" s="16" t="inlineStr">
        <is>
          <t>Cercano</t>
        </is>
      </c>
      <c r="I237" s="16" t="inlineStr">
        <is>
          <t>Estimación geográfica; validar ruta real</t>
        </is>
      </c>
    </row>
    <row r="238" ht="44" customHeight="1">
      <c r="A238" s="16" t="inlineStr">
        <is>
          <t>JP-093</t>
        </is>
      </c>
      <c r="B238" s="16" t="inlineStr">
        <is>
          <t>JP-095</t>
        </is>
      </c>
      <c r="C238" s="16" t="inlineStr">
        <is>
          <t>Kyoto Railway Museum</t>
        </is>
      </c>
      <c r="D238" s="16" t="inlineStr">
        <is>
          <t>teamLab Biovortex Kyoto</t>
        </is>
      </c>
      <c r="E238" s="93" t="n">
        <v>2.51</v>
      </c>
      <c r="F238" s="16" t="n">
        <v>20</v>
      </c>
      <c r="G238" s="16" t="inlineStr">
        <is>
          <t>Transporte local</t>
        </is>
      </c>
      <c r="H238" s="16" t="inlineStr">
        <is>
          <t>Mismo cluster</t>
        </is>
      </c>
      <c r="I238" s="16" t="inlineStr">
        <is>
          <t>Estimación geográfica; validar ruta real</t>
        </is>
      </c>
    </row>
    <row r="239" ht="44" customHeight="1">
      <c r="A239" s="16" t="inlineStr">
        <is>
          <t>JP-093</t>
        </is>
      </c>
      <c r="B239" s="16" t="inlineStr">
        <is>
          <t>JP-096</t>
        </is>
      </c>
      <c r="C239" s="16" t="inlineStr">
        <is>
          <t>Kyoto Railway Museum</t>
        </is>
      </c>
      <c r="D239" s="16" t="inlineStr">
        <is>
          <t>Sanjūsangen-dō</t>
        </is>
      </c>
      <c r="E239" s="93" t="n">
        <v>2.61</v>
      </c>
      <c r="F239" s="16" t="n">
        <v>21</v>
      </c>
      <c r="G239" s="16" t="inlineStr">
        <is>
          <t>Transporte local</t>
        </is>
      </c>
      <c r="H239" s="16" t="inlineStr">
        <is>
          <t>Mismo cluster</t>
        </is>
      </c>
      <c r="I239" s="16" t="inlineStr">
        <is>
          <t>Estimación geográfica; validar ruta real</t>
        </is>
      </c>
    </row>
    <row r="240" ht="44" customHeight="1">
      <c r="A240" s="16" t="inlineStr">
        <is>
          <t>JP-093</t>
        </is>
      </c>
      <c r="B240" s="16" t="inlineStr">
        <is>
          <t>JP-094</t>
        </is>
      </c>
      <c r="C240" s="16" t="inlineStr">
        <is>
          <t>Kyoto Railway Museum</t>
        </is>
      </c>
      <c r="D240" s="16" t="inlineStr">
        <is>
          <t>Kyoto National Museum</t>
        </is>
      </c>
      <c r="E240" s="93" t="n">
        <v>2.75</v>
      </c>
      <c r="F240" s="16" t="n">
        <v>22</v>
      </c>
      <c r="G240" s="16" t="inlineStr">
        <is>
          <t>Transporte local</t>
        </is>
      </c>
      <c r="H240" s="16" t="inlineStr">
        <is>
          <t>Mismo cluster</t>
        </is>
      </c>
      <c r="I240" s="16" t="inlineStr">
        <is>
          <t>Estimación geográfica; validar ruta real</t>
        </is>
      </c>
    </row>
    <row r="241" ht="44" customHeight="1">
      <c r="A241" s="16" t="inlineStr">
        <is>
          <t>JP-094</t>
        </is>
      </c>
      <c r="B241" s="16" t="inlineStr">
        <is>
          <t>JP-096</t>
        </is>
      </c>
      <c r="C241" s="16" t="inlineStr">
        <is>
          <t>Kyoto National Museum</t>
        </is>
      </c>
      <c r="D241" s="16" t="inlineStr">
        <is>
          <t>Sanjūsangen-dō</t>
        </is>
      </c>
      <c r="E241" s="93" t="n">
        <v>0.26</v>
      </c>
      <c r="F241" s="16" t="n">
        <v>4</v>
      </c>
      <c r="G241" s="16" t="inlineStr">
        <is>
          <t>A pie</t>
        </is>
      </c>
      <c r="H241" s="16" t="inlineStr">
        <is>
          <t>Mismo cluster</t>
        </is>
      </c>
      <c r="I241" s="16" t="inlineStr">
        <is>
          <t>Estimación geográfica; validar ruta real</t>
        </is>
      </c>
    </row>
    <row r="242" ht="44" customHeight="1">
      <c r="A242" s="16" t="inlineStr">
        <is>
          <t>JP-094</t>
        </is>
      </c>
      <c r="B242" s="16" t="inlineStr">
        <is>
          <t>JP-101</t>
        </is>
      </c>
      <c r="C242" s="16" t="inlineStr">
        <is>
          <t>Kyoto National Museum</t>
        </is>
      </c>
      <c r="D242" s="16" t="inlineStr">
        <is>
          <t>Gion Corner</t>
        </is>
      </c>
      <c r="E242" s="93" t="n">
        <v>1.14</v>
      </c>
      <c r="F242" s="16" t="n">
        <v>16</v>
      </c>
      <c r="G242" s="16" t="inlineStr">
        <is>
          <t>A pie</t>
        </is>
      </c>
      <c r="H242" s="16" t="inlineStr">
        <is>
          <t>Cercano</t>
        </is>
      </c>
      <c r="I242" s="16" t="inlineStr">
        <is>
          <t>Estimación geográfica; validar ruta real</t>
        </is>
      </c>
    </row>
    <row r="243" ht="44" customHeight="1">
      <c r="A243" s="16" t="inlineStr">
        <is>
          <t>JP-094</t>
        </is>
      </c>
      <c r="B243" s="16" t="inlineStr">
        <is>
          <t>JP-058</t>
        </is>
      </c>
      <c r="C243" s="16" t="inlineStr">
        <is>
          <t>Kyoto National Museum</t>
        </is>
      </c>
      <c r="D243" s="16" t="inlineStr">
        <is>
          <t>Kennin-ji</t>
        </is>
      </c>
      <c r="E243" s="93" t="n">
        <v>1.19</v>
      </c>
      <c r="F243" s="16" t="n">
        <v>17</v>
      </c>
      <c r="G243" s="16" t="inlineStr">
        <is>
          <t>A pie</t>
        </is>
      </c>
      <c r="H243" s="16" t="inlineStr">
        <is>
          <t>Cercano</t>
        </is>
      </c>
      <c r="I243" s="16" t="inlineStr">
        <is>
          <t>Estimación geográfica; validar ruta real</t>
        </is>
      </c>
    </row>
    <row r="244" ht="44" customHeight="1">
      <c r="A244" s="16" t="inlineStr">
        <is>
          <t>JP-095</t>
        </is>
      </c>
      <c r="B244" s="16" t="inlineStr">
        <is>
          <t>JP-067</t>
        </is>
      </c>
      <c r="C244" s="16" t="inlineStr">
        <is>
          <t>teamLab Biovortex Kyoto</t>
        </is>
      </c>
      <c r="D244" s="16" t="inlineStr">
        <is>
          <t>Tōfuku-ji</t>
        </is>
      </c>
      <c r="E244" s="93" t="n">
        <v>0.6</v>
      </c>
      <c r="F244" s="16" t="n">
        <v>8</v>
      </c>
      <c r="G244" s="16" t="inlineStr">
        <is>
          <t>A pie</t>
        </is>
      </c>
      <c r="H244" s="16" t="inlineStr">
        <is>
          <t>Cercano</t>
        </is>
      </c>
      <c r="I244" s="16" t="inlineStr">
        <is>
          <t>Estimación geográfica; validar ruta real</t>
        </is>
      </c>
    </row>
    <row r="245" ht="44" customHeight="1">
      <c r="A245" s="16" t="inlineStr">
        <is>
          <t>JP-095</t>
        </is>
      </c>
      <c r="B245" s="16" t="inlineStr">
        <is>
          <t>JP-096</t>
        </is>
      </c>
      <c r="C245" s="16" t="inlineStr">
        <is>
          <t>teamLab Biovortex Kyoto</t>
        </is>
      </c>
      <c r="D245" s="16" t="inlineStr">
        <is>
          <t>Sanjūsangen-dō</t>
        </is>
      </c>
      <c r="E245" s="93" t="n">
        <v>1</v>
      </c>
      <c r="F245" s="16" t="n">
        <v>14</v>
      </c>
      <c r="G245" s="16" t="inlineStr">
        <is>
          <t>A pie</t>
        </is>
      </c>
      <c r="H245" s="16" t="inlineStr">
        <is>
          <t>Mismo cluster</t>
        </is>
      </c>
      <c r="I245" s="16" t="inlineStr">
        <is>
          <t>Estimación geográfica; validar ruta real</t>
        </is>
      </c>
    </row>
    <row r="246" ht="44" customHeight="1">
      <c r="A246" s="16" t="inlineStr">
        <is>
          <t>JP-095</t>
        </is>
      </c>
      <c r="B246" s="16" t="inlineStr">
        <is>
          <t>JP-094</t>
        </is>
      </c>
      <c r="C246" s="16" t="inlineStr">
        <is>
          <t>teamLab Biovortex Kyoto</t>
        </is>
      </c>
      <c r="D246" s="16" t="inlineStr">
        <is>
          <t>Kyoto National Museum</t>
        </is>
      </c>
      <c r="E246" s="93" t="n">
        <v>1.26</v>
      </c>
      <c r="F246" s="16" t="n">
        <v>18</v>
      </c>
      <c r="G246" s="16" t="inlineStr">
        <is>
          <t>A pie</t>
        </is>
      </c>
      <c r="H246" s="16" t="inlineStr">
        <is>
          <t>Mismo cluster</t>
        </is>
      </c>
      <c r="I246" s="16" t="inlineStr">
        <is>
          <t>Estimación geográfica; validar ruta real</t>
        </is>
      </c>
    </row>
    <row r="247" ht="44" customHeight="1">
      <c r="A247" s="16" t="inlineStr">
        <is>
          <t>JP-096</t>
        </is>
      </c>
      <c r="B247" s="16" t="inlineStr">
        <is>
          <t>JP-094</t>
        </is>
      </c>
      <c r="C247" s="16" t="inlineStr">
        <is>
          <t>Sanjūsangen-dō</t>
        </is>
      </c>
      <c r="D247" s="16" t="inlineStr">
        <is>
          <t>Kyoto National Museum</t>
        </is>
      </c>
      <c r="E247" s="93" t="n">
        <v>0.26</v>
      </c>
      <c r="F247" s="16" t="n">
        <v>4</v>
      </c>
      <c r="G247" s="16" t="inlineStr">
        <is>
          <t>A pie</t>
        </is>
      </c>
      <c r="H247" s="16" t="inlineStr">
        <is>
          <t>Mismo cluster</t>
        </is>
      </c>
      <c r="I247" s="16" t="inlineStr">
        <is>
          <t>Estimación geográfica; validar ruta real</t>
        </is>
      </c>
    </row>
    <row r="248" ht="44" customHeight="1">
      <c r="A248" s="16" t="inlineStr">
        <is>
          <t>JP-096</t>
        </is>
      </c>
      <c r="B248" s="16" t="inlineStr">
        <is>
          <t>JP-095</t>
        </is>
      </c>
      <c r="C248" s="16" t="inlineStr">
        <is>
          <t>Sanjūsangen-dō</t>
        </is>
      </c>
      <c r="D248" s="16" t="inlineStr">
        <is>
          <t>teamLab Biovortex Kyoto</t>
        </is>
      </c>
      <c r="E248" s="93" t="n">
        <v>1</v>
      </c>
      <c r="F248" s="16" t="n">
        <v>14</v>
      </c>
      <c r="G248" s="16" t="inlineStr">
        <is>
          <t>A pie</t>
        </is>
      </c>
      <c r="H248" s="16" t="inlineStr">
        <is>
          <t>Mismo cluster</t>
        </is>
      </c>
      <c r="I248" s="16" t="inlineStr">
        <is>
          <t>Estimación geográfica; validar ruta real</t>
        </is>
      </c>
    </row>
    <row r="249" ht="44" customHeight="1">
      <c r="A249" s="16" t="inlineStr">
        <is>
          <t>JP-096</t>
        </is>
      </c>
      <c r="B249" s="16" t="inlineStr">
        <is>
          <t>JP-067</t>
        </is>
      </c>
      <c r="C249" s="16" t="inlineStr">
        <is>
          <t>Sanjūsangen-dō</t>
        </is>
      </c>
      <c r="D249" s="16" t="inlineStr">
        <is>
          <t>Tōfuku-ji</t>
        </is>
      </c>
      <c r="E249" s="93" t="n">
        <v>1.27</v>
      </c>
      <c r="F249" s="16" t="n">
        <v>18</v>
      </c>
      <c r="G249" s="16" t="inlineStr">
        <is>
          <t>A pie</t>
        </is>
      </c>
      <c r="H249" s="16" t="inlineStr">
        <is>
          <t>Cercano</t>
        </is>
      </c>
      <c r="I249" s="16" t="inlineStr">
        <is>
          <t>Estimación geográfica; validar ruta real</t>
        </is>
      </c>
    </row>
    <row r="250" ht="44" customHeight="1">
      <c r="A250" s="16" t="inlineStr">
        <is>
          <t>JP-097</t>
        </is>
      </c>
      <c r="B250" s="16" t="inlineStr">
        <is>
          <t>JP-099</t>
        </is>
      </c>
      <c r="C250" s="16" t="inlineStr">
        <is>
          <t>Nintendo Museum</t>
        </is>
      </c>
      <c r="D250" s="16" t="inlineStr">
        <is>
          <t>Uji tea experience</t>
        </is>
      </c>
      <c r="E250" s="93" t="n">
        <v>1.77</v>
      </c>
      <c r="F250" s="16" t="n">
        <v>25</v>
      </c>
      <c r="G250" s="16" t="inlineStr">
        <is>
          <t>A pie</t>
        </is>
      </c>
      <c r="H250" s="16" t="inlineStr">
        <is>
          <t>Mismo cluster</t>
        </is>
      </c>
      <c r="I250" s="16" t="inlineStr">
        <is>
          <t>Estimación geográfica; validar ruta real</t>
        </is>
      </c>
    </row>
    <row r="251" ht="44" customHeight="1">
      <c r="A251" s="16" t="inlineStr">
        <is>
          <t>JP-097</t>
        </is>
      </c>
      <c r="B251" s="16" t="inlineStr">
        <is>
          <t>JP-098</t>
        </is>
      </c>
      <c r="C251" s="16" t="inlineStr">
        <is>
          <t>Nintendo Museum</t>
        </is>
      </c>
      <c r="D251" s="16" t="inlineStr">
        <is>
          <t>Byōdō-in</t>
        </is>
      </c>
      <c r="E251" s="93" t="n">
        <v>1.93</v>
      </c>
      <c r="F251" s="16" t="n">
        <v>15</v>
      </c>
      <c r="G251" s="16" t="inlineStr">
        <is>
          <t>Transporte local</t>
        </is>
      </c>
      <c r="H251" s="16" t="inlineStr">
        <is>
          <t>Mismo cluster</t>
        </is>
      </c>
      <c r="I251" s="16" t="inlineStr">
        <is>
          <t>Estimación geográfica; validar ruta real</t>
        </is>
      </c>
    </row>
    <row r="252" ht="44" customHeight="1">
      <c r="A252" s="16" t="inlineStr">
        <is>
          <t>JP-098</t>
        </is>
      </c>
      <c r="B252" s="16" t="inlineStr">
        <is>
          <t>JP-099</t>
        </is>
      </c>
      <c r="C252" s="16" t="inlineStr">
        <is>
          <t>Byōdō-in</t>
        </is>
      </c>
      <c r="D252" s="16" t="inlineStr">
        <is>
          <t>Uji tea experience</t>
        </is>
      </c>
      <c r="E252" s="93" t="n">
        <v>0.23</v>
      </c>
      <c r="F252" s="16" t="n">
        <v>3</v>
      </c>
      <c r="G252" s="16" t="inlineStr">
        <is>
          <t>A pie</t>
        </is>
      </c>
      <c r="H252" s="16" t="inlineStr">
        <is>
          <t>Mismo cluster</t>
        </is>
      </c>
      <c r="I252" s="16" t="inlineStr">
        <is>
          <t>Estimación geográfica; validar ruta real</t>
        </is>
      </c>
    </row>
    <row r="253" ht="44" customHeight="1">
      <c r="A253" s="16" t="inlineStr">
        <is>
          <t>JP-098</t>
        </is>
      </c>
      <c r="B253" s="16" t="inlineStr">
        <is>
          <t>JP-097</t>
        </is>
      </c>
      <c r="C253" s="16" t="inlineStr">
        <is>
          <t>Byōdō-in</t>
        </is>
      </c>
      <c r="D253" s="16" t="inlineStr">
        <is>
          <t>Nintendo Museum</t>
        </is>
      </c>
      <c r="E253" s="93" t="n">
        <v>1.93</v>
      </c>
      <c r="F253" s="16" t="n">
        <v>15</v>
      </c>
      <c r="G253" s="16" t="inlineStr">
        <is>
          <t>Transporte local</t>
        </is>
      </c>
      <c r="H253" s="16" t="inlineStr">
        <is>
          <t>Mismo cluster</t>
        </is>
      </c>
      <c r="I253" s="16" t="inlineStr">
        <is>
          <t>Estimación geográfica; validar ruta real</t>
        </is>
      </c>
    </row>
    <row r="254" ht="44" customHeight="1">
      <c r="A254" s="16" t="inlineStr">
        <is>
          <t>JP-099</t>
        </is>
      </c>
      <c r="B254" s="16" t="inlineStr">
        <is>
          <t>JP-098</t>
        </is>
      </c>
      <c r="C254" s="16" t="inlineStr">
        <is>
          <t>Uji tea experience</t>
        </is>
      </c>
      <c r="D254" s="16" t="inlineStr">
        <is>
          <t>Byōdō-in</t>
        </is>
      </c>
      <c r="E254" s="93" t="n">
        <v>0.23</v>
      </c>
      <c r="F254" s="16" t="n">
        <v>3</v>
      </c>
      <c r="G254" s="16" t="inlineStr">
        <is>
          <t>A pie</t>
        </is>
      </c>
      <c r="H254" s="16" t="inlineStr">
        <is>
          <t>Mismo cluster</t>
        </is>
      </c>
      <c r="I254" s="16" t="inlineStr">
        <is>
          <t>Estimación geográfica; validar ruta real</t>
        </is>
      </c>
    </row>
    <row r="255" ht="44" customHeight="1">
      <c r="A255" s="16" t="inlineStr">
        <is>
          <t>JP-099</t>
        </is>
      </c>
      <c r="B255" s="16" t="inlineStr">
        <is>
          <t>JP-097</t>
        </is>
      </c>
      <c r="C255" s="16" t="inlineStr">
        <is>
          <t>Uji tea experience</t>
        </is>
      </c>
      <c r="D255" s="16" t="inlineStr">
        <is>
          <t>Nintendo Museum</t>
        </is>
      </c>
      <c r="E255" s="93" t="n">
        <v>1.77</v>
      </c>
      <c r="F255" s="16" t="n">
        <v>25</v>
      </c>
      <c r="G255" s="16" t="inlineStr">
        <is>
          <t>A pie</t>
        </is>
      </c>
      <c r="H255" s="16" t="inlineStr">
        <is>
          <t>Mismo cluster</t>
        </is>
      </c>
      <c r="I255" s="16" t="inlineStr">
        <is>
          <t>Estimación geográfica; validar ruta real</t>
        </is>
      </c>
    </row>
    <row r="256" ht="44" customHeight="1">
      <c r="A256" s="16" t="inlineStr">
        <is>
          <t>JP-100</t>
        </is>
      </c>
      <c r="B256" s="16" t="inlineStr">
        <is>
          <t>JP-081</t>
        </is>
      </c>
      <c r="C256" s="16" t="inlineStr">
        <is>
          <t>Uzumasa Kyoto Village / Toei Kyoto Studio Park</t>
        </is>
      </c>
      <c r="D256" s="16" t="inlineStr">
        <is>
          <t>Ryōan-ji</t>
        </is>
      </c>
      <c r="E256" s="93" t="n">
        <v>2.21</v>
      </c>
      <c r="F256" s="16" t="n">
        <v>18</v>
      </c>
      <c r="G256" s="16" t="inlineStr">
        <is>
          <t>Transporte local</t>
        </is>
      </c>
      <c r="H256" s="16" t="inlineStr">
        <is>
          <t>Cercano</t>
        </is>
      </c>
      <c r="I256" s="16" t="inlineStr">
        <is>
          <t>Estimación geográfica; validar ruta real</t>
        </is>
      </c>
    </row>
    <row r="257" ht="44" customHeight="1">
      <c r="A257" s="16" t="inlineStr">
        <is>
          <t>JP-101</t>
        </is>
      </c>
      <c r="B257" s="16" t="inlineStr">
        <is>
          <t>JP-058</t>
        </is>
      </c>
      <c r="C257" s="16" t="inlineStr">
        <is>
          <t>Gion Corner</t>
        </is>
      </c>
      <c r="D257" s="16" t="inlineStr">
        <is>
          <t>Kennin-ji</t>
        </is>
      </c>
      <c r="E257" s="93" t="n">
        <v>0.17</v>
      </c>
      <c r="F257" s="16" t="n">
        <v>3</v>
      </c>
      <c r="G257" s="16" t="inlineStr">
        <is>
          <t>A pie</t>
        </is>
      </c>
      <c r="H257" s="16" t="inlineStr">
        <is>
          <t>Mismo cluster</t>
        </is>
      </c>
      <c r="I257" s="16" t="inlineStr">
        <is>
          <t>Estimación geográfica; validar ruta real</t>
        </is>
      </c>
    </row>
    <row r="258" ht="44" customHeight="1">
      <c r="A258" s="16" t="inlineStr">
        <is>
          <t>JP-101</t>
        </is>
      </c>
      <c r="B258" s="16" t="inlineStr">
        <is>
          <t>JP-056</t>
        </is>
      </c>
      <c r="C258" s="16" t="inlineStr">
        <is>
          <t>Gion Corner</t>
        </is>
      </c>
      <c r="D258" s="16" t="inlineStr">
        <is>
          <t>Yasaka Kōshin-dō</t>
        </is>
      </c>
      <c r="E258" s="93" t="n">
        <v>0.48</v>
      </c>
      <c r="F258" s="16" t="n">
        <v>7</v>
      </c>
      <c r="G258" s="16" t="inlineStr">
        <is>
          <t>A pie</t>
        </is>
      </c>
      <c r="H258" s="16" t="inlineStr">
        <is>
          <t>Mismo cluster</t>
        </is>
      </c>
      <c r="I258" s="16" t="inlineStr">
        <is>
          <t>Estimación geográfica; validar ruta real</t>
        </is>
      </c>
    </row>
    <row r="259" ht="44" customHeight="1">
      <c r="A259" s="16" t="inlineStr">
        <is>
          <t>JP-101</t>
        </is>
      </c>
      <c r="B259" s="16" t="inlineStr">
        <is>
          <t>JP-059</t>
        </is>
      </c>
      <c r="C259" s="16" t="inlineStr">
        <is>
          <t>Gion Corner</t>
        </is>
      </c>
      <c r="D259" s="16" t="inlineStr">
        <is>
          <t>Kōdai-ji</t>
        </is>
      </c>
      <c r="E259" s="93" t="n">
        <v>0.51</v>
      </c>
      <c r="F259" s="16" t="n">
        <v>7</v>
      </c>
      <c r="G259" s="16" t="inlineStr">
        <is>
          <t>A pie</t>
        </is>
      </c>
      <c r="H259" s="16" t="inlineStr">
        <is>
          <t>Mismo cluster</t>
        </is>
      </c>
      <c r="I259" s="16" t="inlineStr">
        <is>
          <t>Estimación geográfica; validar ruta real</t>
        </is>
      </c>
    </row>
    <row r="260" ht="44" customHeight="1">
      <c r="A260" s="16" t="inlineStr">
        <is>
          <t>JP-102</t>
        </is>
      </c>
      <c r="B260" s="16" t="inlineStr">
        <is>
          <t>JP-090</t>
        </is>
      </c>
      <c r="C260" s="16" t="inlineStr">
        <is>
          <t>Demachi Masugata Shopping Arcade</t>
        </is>
      </c>
      <c r="D260" s="16" t="inlineStr">
        <is>
          <t>Kyoto Imperial Palace</t>
        </is>
      </c>
      <c r="E260" s="93" t="n">
        <v>0.85</v>
      </c>
      <c r="F260" s="16" t="n">
        <v>12</v>
      </c>
      <c r="G260" s="16" t="inlineStr">
        <is>
          <t>A pie</t>
        </is>
      </c>
      <c r="H260" s="16" t="inlineStr">
        <is>
          <t>Cercano</t>
        </is>
      </c>
      <c r="I260" s="16" t="inlineStr">
        <is>
          <t>Estimación geográfica; validar ruta real</t>
        </is>
      </c>
    </row>
    <row r="261" ht="44" customHeight="1">
      <c r="A261" s="16" t="inlineStr">
        <is>
          <t>JP-102</t>
        </is>
      </c>
      <c r="B261" s="16" t="inlineStr">
        <is>
          <t>JP-092</t>
        </is>
      </c>
      <c r="C261" s="16" t="inlineStr">
        <is>
          <t>Demachi Masugata Shopping Arcade</t>
        </is>
      </c>
      <c r="D261" s="16" t="inlineStr">
        <is>
          <t>Kyoto International Manga Museum</t>
        </is>
      </c>
      <c r="E261" s="93" t="n">
        <v>2.4</v>
      </c>
      <c r="F261" s="16" t="n">
        <v>19</v>
      </c>
      <c r="G261" s="16" t="inlineStr">
        <is>
          <t>Transporte local</t>
        </is>
      </c>
      <c r="H261" s="16" t="inlineStr">
        <is>
          <t>Cercano</t>
        </is>
      </c>
      <c r="I261" s="16" t="inlineStr">
        <is>
          <t>Estimación geográfica; validar ruta real</t>
        </is>
      </c>
    </row>
    <row r="262" ht="44" customHeight="1">
      <c r="A262" s="16" t="inlineStr">
        <is>
          <t>JP-103</t>
        </is>
      </c>
      <c r="B262" s="16" t="inlineStr">
        <is>
          <t>JP-104</t>
        </is>
      </c>
      <c r="C262" s="16" t="inlineStr">
        <is>
          <t>Dotonbori</t>
        </is>
      </c>
      <c r="D262" s="16" t="inlineStr">
        <is>
          <t>Glico Running Man sign</t>
        </is>
      </c>
      <c r="E262" s="93" t="n">
        <v>0.06</v>
      </c>
      <c r="F262" s="16" t="n">
        <v>3</v>
      </c>
      <c r="G262" s="16" t="inlineStr">
        <is>
          <t>A pie</t>
        </is>
      </c>
      <c r="H262" s="16" t="inlineStr">
        <is>
          <t>Mismo cluster</t>
        </is>
      </c>
      <c r="I262" s="16" t="inlineStr">
        <is>
          <t>Estimación geográfica; validar ruta real</t>
        </is>
      </c>
    </row>
    <row r="263" ht="44" customHeight="1">
      <c r="A263" s="16" t="inlineStr">
        <is>
          <t>JP-103</t>
        </is>
      </c>
      <c r="B263" s="16" t="inlineStr">
        <is>
          <t>JP-105</t>
        </is>
      </c>
      <c r="C263" s="16" t="inlineStr">
        <is>
          <t>Dotonbori</t>
        </is>
      </c>
      <c r="D263" s="16" t="inlineStr">
        <is>
          <t>Hozenji Yokocho</t>
        </is>
      </c>
      <c r="E263" s="93" t="n">
        <v>0.17</v>
      </c>
      <c r="F263" s="16" t="n">
        <v>3</v>
      </c>
      <c r="G263" s="16" t="inlineStr">
        <is>
          <t>A pie</t>
        </is>
      </c>
      <c r="H263" s="16" t="inlineStr">
        <is>
          <t>Mismo cluster</t>
        </is>
      </c>
      <c r="I263" s="16" t="inlineStr">
        <is>
          <t>Estimación geográfica; validar ruta real</t>
        </is>
      </c>
    </row>
    <row r="264" ht="44" customHeight="1">
      <c r="A264" s="16" t="inlineStr">
        <is>
          <t>JP-103</t>
        </is>
      </c>
      <c r="B264" s="16" t="inlineStr">
        <is>
          <t>JP-106</t>
        </is>
      </c>
      <c r="C264" s="16" t="inlineStr">
        <is>
          <t>Dotonbori</t>
        </is>
      </c>
      <c r="D264" s="16" t="inlineStr">
        <is>
          <t>Kuromon Ichiba Market</t>
        </is>
      </c>
      <c r="E264" s="93" t="n">
        <v>0.59</v>
      </c>
      <c r="F264" s="16" t="n">
        <v>8</v>
      </c>
      <c r="G264" s="16" t="inlineStr">
        <is>
          <t>A pie</t>
        </is>
      </c>
      <c r="H264" s="16" t="inlineStr">
        <is>
          <t>Mismo cluster</t>
        </is>
      </c>
      <c r="I264" s="16" t="inlineStr">
        <is>
          <t>Estimación geográfica; validar ruta real</t>
        </is>
      </c>
    </row>
    <row r="265" ht="44" customHeight="1">
      <c r="A265" s="16" t="inlineStr">
        <is>
          <t>JP-104</t>
        </is>
      </c>
      <c r="B265" s="16" t="inlineStr">
        <is>
          <t>JP-103</t>
        </is>
      </c>
      <c r="C265" s="16" t="inlineStr">
        <is>
          <t>Glico Running Man sign</t>
        </is>
      </c>
      <c r="D265" s="16" t="inlineStr">
        <is>
          <t>Dotonbori</t>
        </is>
      </c>
      <c r="E265" s="93" t="n">
        <v>0.06</v>
      </c>
      <c r="F265" s="16" t="n">
        <v>3</v>
      </c>
      <c r="G265" s="16" t="inlineStr">
        <is>
          <t>A pie</t>
        </is>
      </c>
      <c r="H265" s="16" t="inlineStr">
        <is>
          <t>Mismo cluster</t>
        </is>
      </c>
      <c r="I265" s="16" t="inlineStr">
        <is>
          <t>Estimación geográfica; validar ruta real</t>
        </is>
      </c>
    </row>
    <row r="266" ht="44" customHeight="1">
      <c r="A266" s="16" t="inlineStr">
        <is>
          <t>JP-104</t>
        </is>
      </c>
      <c r="B266" s="16" t="inlineStr">
        <is>
          <t>JP-105</t>
        </is>
      </c>
      <c r="C266" s="16" t="inlineStr">
        <is>
          <t>Glico Running Man sign</t>
        </is>
      </c>
      <c r="D266" s="16" t="inlineStr">
        <is>
          <t>Hozenji Yokocho</t>
        </is>
      </c>
      <c r="E266" s="93" t="n">
        <v>0.2</v>
      </c>
      <c r="F266" s="16" t="n">
        <v>3</v>
      </c>
      <c r="G266" s="16" t="inlineStr">
        <is>
          <t>A pie</t>
        </is>
      </c>
      <c r="H266" s="16" t="inlineStr">
        <is>
          <t>Mismo cluster</t>
        </is>
      </c>
      <c r="I266" s="16" t="inlineStr">
        <is>
          <t>Estimación geográfica; validar ruta real</t>
        </is>
      </c>
    </row>
    <row r="267" ht="44" customHeight="1">
      <c r="A267" s="16" t="inlineStr">
        <is>
          <t>JP-104</t>
        </is>
      </c>
      <c r="B267" s="16" t="inlineStr">
        <is>
          <t>JP-106</t>
        </is>
      </c>
      <c r="C267" s="16" t="inlineStr">
        <is>
          <t>Glico Running Man sign</t>
        </is>
      </c>
      <c r="D267" s="16" t="inlineStr">
        <is>
          <t>Kuromon Ichiba Market</t>
        </is>
      </c>
      <c r="E267" s="93" t="n">
        <v>0.64</v>
      </c>
      <c r="F267" s="16" t="n">
        <v>9</v>
      </c>
      <c r="G267" s="16" t="inlineStr">
        <is>
          <t>A pie</t>
        </is>
      </c>
      <c r="H267" s="16" t="inlineStr">
        <is>
          <t>Mismo cluster</t>
        </is>
      </c>
      <c r="I267" s="16" t="inlineStr">
        <is>
          <t>Estimación geográfica; validar ruta real</t>
        </is>
      </c>
    </row>
    <row r="268" ht="44" customHeight="1">
      <c r="A268" s="16" t="inlineStr">
        <is>
          <t>JP-105</t>
        </is>
      </c>
      <c r="B268" s="16" t="inlineStr">
        <is>
          <t>JP-103</t>
        </is>
      </c>
      <c r="C268" s="16" t="inlineStr">
        <is>
          <t>Hozenji Yokocho</t>
        </is>
      </c>
      <c r="D268" s="16" t="inlineStr">
        <is>
          <t>Dotonbori</t>
        </is>
      </c>
      <c r="E268" s="93" t="n">
        <v>0.17</v>
      </c>
      <c r="F268" s="16" t="n">
        <v>3</v>
      </c>
      <c r="G268" s="16" t="inlineStr">
        <is>
          <t>A pie</t>
        </is>
      </c>
      <c r="H268" s="16" t="inlineStr">
        <is>
          <t>Mismo cluster</t>
        </is>
      </c>
      <c r="I268" s="16" t="inlineStr">
        <is>
          <t>Estimación geográfica; validar ruta real</t>
        </is>
      </c>
    </row>
    <row r="269" ht="44" customHeight="1">
      <c r="A269" s="16" t="inlineStr">
        <is>
          <t>JP-105</t>
        </is>
      </c>
      <c r="B269" s="16" t="inlineStr">
        <is>
          <t>JP-104</t>
        </is>
      </c>
      <c r="C269" s="16" t="inlineStr">
        <is>
          <t>Hozenji Yokocho</t>
        </is>
      </c>
      <c r="D269" s="16" t="inlineStr">
        <is>
          <t>Glico Running Man sign</t>
        </is>
      </c>
      <c r="E269" s="93" t="n">
        <v>0.2</v>
      </c>
      <c r="F269" s="16" t="n">
        <v>3</v>
      </c>
      <c r="G269" s="16" t="inlineStr">
        <is>
          <t>A pie</t>
        </is>
      </c>
      <c r="H269" s="16" t="inlineStr">
        <is>
          <t>Mismo cluster</t>
        </is>
      </c>
      <c r="I269" s="16" t="inlineStr">
        <is>
          <t>Estimación geográfica; validar ruta real</t>
        </is>
      </c>
    </row>
    <row r="270" ht="44" customHeight="1">
      <c r="A270" s="16" t="inlineStr">
        <is>
          <t>JP-105</t>
        </is>
      </c>
      <c r="B270" s="16" t="inlineStr">
        <is>
          <t>JP-106</t>
        </is>
      </c>
      <c r="C270" s="16" t="inlineStr">
        <is>
          <t>Hozenji Yokocho</t>
        </is>
      </c>
      <c r="D270" s="16" t="inlineStr">
        <is>
          <t>Kuromon Ichiba Market</t>
        </is>
      </c>
      <c r="E270" s="93" t="n">
        <v>0.44</v>
      </c>
      <c r="F270" s="16" t="n">
        <v>6</v>
      </c>
      <c r="G270" s="16" t="inlineStr">
        <is>
          <t>A pie</t>
        </is>
      </c>
      <c r="H270" s="16" t="inlineStr">
        <is>
          <t>Mismo cluster</t>
        </is>
      </c>
      <c r="I270" s="16" t="inlineStr">
        <is>
          <t>Estimación geográfica; validar ruta real</t>
        </is>
      </c>
    </row>
    <row r="271" ht="44" customHeight="1">
      <c r="A271" s="16" t="inlineStr">
        <is>
          <t>JP-106</t>
        </is>
      </c>
      <c r="B271" s="16" t="inlineStr">
        <is>
          <t>JP-105</t>
        </is>
      </c>
      <c r="C271" s="16" t="inlineStr">
        <is>
          <t>Kuromon Ichiba Market</t>
        </is>
      </c>
      <c r="D271" s="16" t="inlineStr">
        <is>
          <t>Hozenji Yokocho</t>
        </is>
      </c>
      <c r="E271" s="93" t="n">
        <v>0.44</v>
      </c>
      <c r="F271" s="16" t="n">
        <v>6</v>
      </c>
      <c r="G271" s="16" t="inlineStr">
        <is>
          <t>A pie</t>
        </is>
      </c>
      <c r="H271" s="16" t="inlineStr">
        <is>
          <t>Mismo cluster</t>
        </is>
      </c>
      <c r="I271" s="16" t="inlineStr">
        <is>
          <t>Estimación geográfica; validar ruta real</t>
        </is>
      </c>
    </row>
    <row r="272" ht="44" customHeight="1">
      <c r="A272" s="16" t="inlineStr">
        <is>
          <t>JP-106</t>
        </is>
      </c>
      <c r="B272" s="16" t="inlineStr">
        <is>
          <t>JP-103</t>
        </is>
      </c>
      <c r="C272" s="16" t="inlineStr">
        <is>
          <t>Kuromon Ichiba Market</t>
        </is>
      </c>
      <c r="D272" s="16" t="inlineStr">
        <is>
          <t>Dotonbori</t>
        </is>
      </c>
      <c r="E272" s="93" t="n">
        <v>0.59</v>
      </c>
      <c r="F272" s="16" t="n">
        <v>8</v>
      </c>
      <c r="G272" s="16" t="inlineStr">
        <is>
          <t>A pie</t>
        </is>
      </c>
      <c r="H272" s="16" t="inlineStr">
        <is>
          <t>Mismo cluster</t>
        </is>
      </c>
      <c r="I272" s="16" t="inlineStr">
        <is>
          <t>Estimación geográfica; validar ruta real</t>
        </is>
      </c>
    </row>
    <row r="273" ht="44" customHeight="1">
      <c r="A273" s="16" t="inlineStr">
        <is>
          <t>JP-106</t>
        </is>
      </c>
      <c r="B273" s="16" t="inlineStr">
        <is>
          <t>JP-104</t>
        </is>
      </c>
      <c r="C273" s="16" t="inlineStr">
        <is>
          <t>Kuromon Ichiba Market</t>
        </is>
      </c>
      <c r="D273" s="16" t="inlineStr">
        <is>
          <t>Glico Running Man sign</t>
        </is>
      </c>
      <c r="E273" s="93" t="n">
        <v>0.64</v>
      </c>
      <c r="F273" s="16" t="n">
        <v>9</v>
      </c>
      <c r="G273" s="16" t="inlineStr">
        <is>
          <t>A pie</t>
        </is>
      </c>
      <c r="H273" s="16" t="inlineStr">
        <is>
          <t>Mismo cluster</t>
        </is>
      </c>
      <c r="I273" s="16" t="inlineStr">
        <is>
          <t>Estimación geográfica; validar ruta real</t>
        </is>
      </c>
    </row>
    <row r="274" ht="44" customHeight="1">
      <c r="A274" s="16" t="inlineStr">
        <is>
          <t>JP-107</t>
        </is>
      </c>
      <c r="B274" s="16" t="inlineStr">
        <is>
          <t>JP-105</t>
        </is>
      </c>
      <c r="C274" s="16" t="inlineStr">
        <is>
          <t>Namba Yasaka Shrine</t>
        </is>
      </c>
      <c r="D274" s="16" t="inlineStr">
        <is>
          <t>Hozenji Yokocho</t>
        </is>
      </c>
      <c r="E274" s="93" t="n">
        <v>0.85</v>
      </c>
      <c r="F274" s="16" t="n">
        <v>12</v>
      </c>
      <c r="G274" s="16" t="inlineStr">
        <is>
          <t>A pie</t>
        </is>
      </c>
      <c r="H274" s="16" t="inlineStr">
        <is>
          <t>Mismo cluster</t>
        </is>
      </c>
      <c r="I274" s="16" t="inlineStr">
        <is>
          <t>Estimación geográfica; validar ruta real</t>
        </is>
      </c>
    </row>
    <row r="275" ht="44" customHeight="1">
      <c r="A275" s="16" t="inlineStr">
        <is>
          <t>JP-107</t>
        </is>
      </c>
      <c r="B275" s="16" t="inlineStr">
        <is>
          <t>JP-104</t>
        </is>
      </c>
      <c r="C275" s="16" t="inlineStr">
        <is>
          <t>Namba Yasaka Shrine</t>
        </is>
      </c>
      <c r="D275" s="16" t="inlineStr">
        <is>
          <t>Glico Running Man sign</t>
        </is>
      </c>
      <c r="E275" s="93" t="n">
        <v>0.88</v>
      </c>
      <c r="F275" s="16" t="n">
        <v>12</v>
      </c>
      <c r="G275" s="16" t="inlineStr">
        <is>
          <t>A pie</t>
        </is>
      </c>
      <c r="H275" s="16" t="inlineStr">
        <is>
          <t>Mismo cluster</t>
        </is>
      </c>
      <c r="I275" s="16" t="inlineStr">
        <is>
          <t>Estimación geográfica; validar ruta real</t>
        </is>
      </c>
    </row>
    <row r="276" ht="44" customHeight="1">
      <c r="A276" s="16" t="inlineStr">
        <is>
          <t>JP-107</t>
        </is>
      </c>
      <c r="B276" s="16" t="inlineStr">
        <is>
          <t>JP-103</t>
        </is>
      </c>
      <c r="C276" s="16" t="inlineStr">
        <is>
          <t>Namba Yasaka Shrine</t>
        </is>
      </c>
      <c r="D276" s="16" t="inlineStr">
        <is>
          <t>Dotonbori</t>
        </is>
      </c>
      <c r="E276" s="93" t="n">
        <v>0.92</v>
      </c>
      <c r="F276" s="16" t="n">
        <v>13</v>
      </c>
      <c r="G276" s="16" t="inlineStr">
        <is>
          <t>A pie</t>
        </is>
      </c>
      <c r="H276" s="16" t="inlineStr">
        <is>
          <t>Mismo cluster</t>
        </is>
      </c>
      <c r="I276" s="16" t="inlineStr">
        <is>
          <t>Estimación geográfica; validar ruta real</t>
        </is>
      </c>
    </row>
    <row r="277" ht="44" customHeight="1">
      <c r="A277" s="16" t="inlineStr">
        <is>
          <t>JP-108</t>
        </is>
      </c>
      <c r="B277" s="16" t="inlineStr">
        <is>
          <t>JP-110</t>
        </is>
      </c>
      <c r="C277" s="16" t="inlineStr">
        <is>
          <t>Den Den Town</t>
        </is>
      </c>
      <c r="D277" s="16" t="inlineStr">
        <is>
          <t>Tsutenkaku</t>
        </is>
      </c>
      <c r="E277" s="93" t="n">
        <v>0.43</v>
      </c>
      <c r="F277" s="16" t="n">
        <v>6</v>
      </c>
      <c r="G277" s="16" t="inlineStr">
        <is>
          <t>A pie</t>
        </is>
      </c>
      <c r="H277" s="16" t="inlineStr">
        <is>
          <t>Cercano</t>
        </is>
      </c>
      <c r="I277" s="16" t="inlineStr">
        <is>
          <t>Estimación geográfica; validar ruta real</t>
        </is>
      </c>
    </row>
    <row r="278" ht="44" customHeight="1">
      <c r="A278" s="16" t="inlineStr">
        <is>
          <t>JP-108</t>
        </is>
      </c>
      <c r="B278" s="16" t="inlineStr">
        <is>
          <t>JP-109</t>
        </is>
      </c>
      <c r="C278" s="16" t="inlineStr">
        <is>
          <t>Den Den Town</t>
        </is>
      </c>
      <c r="D278" s="16" t="inlineStr">
        <is>
          <t>Shinsekai</t>
        </is>
      </c>
      <c r="E278" s="93" t="n">
        <v>0.43</v>
      </c>
      <c r="F278" s="16" t="n">
        <v>6</v>
      </c>
      <c r="G278" s="16" t="inlineStr">
        <is>
          <t>A pie</t>
        </is>
      </c>
      <c r="H278" s="16" t="inlineStr">
        <is>
          <t>Cercano</t>
        </is>
      </c>
      <c r="I278" s="16" t="inlineStr">
        <is>
          <t>Estimación geográfica; validar ruta real</t>
        </is>
      </c>
    </row>
    <row r="279" ht="44" customHeight="1">
      <c r="A279" s="16" t="inlineStr">
        <is>
          <t>JP-108</t>
        </is>
      </c>
      <c r="B279" s="16" t="inlineStr">
        <is>
          <t>JP-119</t>
        </is>
      </c>
      <c r="C279" s="16" t="inlineStr">
        <is>
          <t>Den Den Town</t>
        </is>
      </c>
      <c r="D279" s="16" t="inlineStr">
        <is>
          <t>Shitennō-ji</t>
        </is>
      </c>
      <c r="E279" s="93" t="n">
        <v>0.96</v>
      </c>
      <c r="F279" s="16" t="n">
        <v>13</v>
      </c>
      <c r="G279" s="16" t="inlineStr">
        <is>
          <t>A pie</t>
        </is>
      </c>
      <c r="H279" s="16" t="inlineStr">
        <is>
          <t>Cercano</t>
        </is>
      </c>
      <c r="I279" s="16" t="inlineStr">
        <is>
          <t>Estimación geográfica; validar ruta real</t>
        </is>
      </c>
    </row>
    <row r="280" ht="44" customHeight="1">
      <c r="A280" s="16" t="inlineStr">
        <is>
          <t>JP-109</t>
        </is>
      </c>
      <c r="B280" s="16" t="inlineStr">
        <is>
          <t>JP-110</t>
        </is>
      </c>
      <c r="C280" s="16" t="inlineStr">
        <is>
          <t>Shinsekai</t>
        </is>
      </c>
      <c r="D280" s="16" t="inlineStr">
        <is>
          <t>Tsutenkaku</t>
        </is>
      </c>
      <c r="E280" s="93" t="n">
        <v>0.01</v>
      </c>
      <c r="F280" s="16" t="n">
        <v>3</v>
      </c>
      <c r="G280" s="16" t="inlineStr">
        <is>
          <t>A pie</t>
        </is>
      </c>
      <c r="H280" s="16" t="inlineStr">
        <is>
          <t>Mismo cluster</t>
        </is>
      </c>
      <c r="I280" s="16" t="inlineStr">
        <is>
          <t>Estimación geográfica; validar ruta real</t>
        </is>
      </c>
    </row>
    <row r="281" ht="44" customHeight="1">
      <c r="A281" s="16" t="inlineStr">
        <is>
          <t>JP-109</t>
        </is>
      </c>
      <c r="B281" s="16" t="inlineStr">
        <is>
          <t>JP-108</t>
        </is>
      </c>
      <c r="C281" s="16" t="inlineStr">
        <is>
          <t>Shinsekai</t>
        </is>
      </c>
      <c r="D281" s="16" t="inlineStr">
        <is>
          <t>Den Den Town</t>
        </is>
      </c>
      <c r="E281" s="93" t="n">
        <v>0.43</v>
      </c>
      <c r="F281" s="16" t="n">
        <v>6</v>
      </c>
      <c r="G281" s="16" t="inlineStr">
        <is>
          <t>A pie</t>
        </is>
      </c>
      <c r="H281" s="16" t="inlineStr">
        <is>
          <t>Cercano</t>
        </is>
      </c>
      <c r="I281" s="16" t="inlineStr">
        <is>
          <t>Estimación geográfica; validar ruta real</t>
        </is>
      </c>
    </row>
    <row r="282" ht="44" customHeight="1">
      <c r="A282" s="16" t="inlineStr">
        <is>
          <t>JP-109</t>
        </is>
      </c>
      <c r="B282" s="16" t="inlineStr">
        <is>
          <t>JP-119</t>
        </is>
      </c>
      <c r="C282" s="16" t="inlineStr">
        <is>
          <t>Shinsekai</t>
        </is>
      </c>
      <c r="D282" s="16" t="inlineStr">
        <is>
          <t>Shitennō-ji</t>
        </is>
      </c>
      <c r="E282" s="93" t="n">
        <v>0.97</v>
      </c>
      <c r="F282" s="16" t="n">
        <v>14</v>
      </c>
      <c r="G282" s="16" t="inlineStr">
        <is>
          <t>A pie</t>
        </is>
      </c>
      <c r="H282" s="16" t="inlineStr">
        <is>
          <t>Mismo cluster</t>
        </is>
      </c>
      <c r="I282" s="16" t="inlineStr">
        <is>
          <t>Estimación geográfica; validar ruta real</t>
        </is>
      </c>
    </row>
    <row r="283" ht="44" customHeight="1">
      <c r="A283" s="16" t="inlineStr">
        <is>
          <t>JP-110</t>
        </is>
      </c>
      <c r="B283" s="16" t="inlineStr">
        <is>
          <t>JP-109</t>
        </is>
      </c>
      <c r="C283" s="16" t="inlineStr">
        <is>
          <t>Tsutenkaku</t>
        </is>
      </c>
      <c r="D283" s="16" t="inlineStr">
        <is>
          <t>Shinsekai</t>
        </is>
      </c>
      <c r="E283" s="93" t="n">
        <v>0.01</v>
      </c>
      <c r="F283" s="16" t="n">
        <v>3</v>
      </c>
      <c r="G283" s="16" t="inlineStr">
        <is>
          <t>A pie</t>
        </is>
      </c>
      <c r="H283" s="16" t="inlineStr">
        <is>
          <t>Mismo cluster</t>
        </is>
      </c>
      <c r="I283" s="16" t="inlineStr">
        <is>
          <t>Estimación geográfica; validar ruta real</t>
        </is>
      </c>
    </row>
    <row r="284" ht="44" customHeight="1">
      <c r="A284" s="16" t="inlineStr">
        <is>
          <t>JP-110</t>
        </is>
      </c>
      <c r="B284" s="16" t="inlineStr">
        <is>
          <t>JP-108</t>
        </is>
      </c>
      <c r="C284" s="16" t="inlineStr">
        <is>
          <t>Tsutenkaku</t>
        </is>
      </c>
      <c r="D284" s="16" t="inlineStr">
        <is>
          <t>Den Den Town</t>
        </is>
      </c>
      <c r="E284" s="93" t="n">
        <v>0.43</v>
      </c>
      <c r="F284" s="16" t="n">
        <v>6</v>
      </c>
      <c r="G284" s="16" t="inlineStr">
        <is>
          <t>A pie</t>
        </is>
      </c>
      <c r="H284" s="16" t="inlineStr">
        <is>
          <t>Cercano</t>
        </is>
      </c>
      <c r="I284" s="16" t="inlineStr">
        <is>
          <t>Estimación geográfica; validar ruta real</t>
        </is>
      </c>
    </row>
    <row r="285" ht="44" customHeight="1">
      <c r="A285" s="16" t="inlineStr">
        <is>
          <t>JP-110</t>
        </is>
      </c>
      <c r="B285" s="16" t="inlineStr">
        <is>
          <t>JP-119</t>
        </is>
      </c>
      <c r="C285" s="16" t="inlineStr">
        <is>
          <t>Tsutenkaku</t>
        </is>
      </c>
      <c r="D285" s="16" t="inlineStr">
        <is>
          <t>Shitennō-ji</t>
        </is>
      </c>
      <c r="E285" s="93" t="n">
        <v>0.98</v>
      </c>
      <c r="F285" s="16" t="n">
        <v>14</v>
      </c>
      <c r="G285" s="16" t="inlineStr">
        <is>
          <t>A pie</t>
        </is>
      </c>
      <c r="H285" s="16" t="inlineStr">
        <is>
          <t>Mismo cluster</t>
        </is>
      </c>
      <c r="I285" s="16" t="inlineStr">
        <is>
          <t>Estimación geográfica; validar ruta real</t>
        </is>
      </c>
    </row>
    <row r="286" ht="44" customHeight="1">
      <c r="A286" s="16" t="inlineStr">
        <is>
          <t>JP-111</t>
        </is>
      </c>
      <c r="B286" s="16" t="inlineStr">
        <is>
          <t>JP-109</t>
        </is>
      </c>
      <c r="C286" s="16" t="inlineStr">
        <is>
          <t>Abeno Harukas 300</t>
        </is>
      </c>
      <c r="D286" s="16" t="inlineStr">
        <is>
          <t>Shinsekai</t>
        </is>
      </c>
      <c r="E286" s="93" t="n">
        <v>0.98</v>
      </c>
      <c r="F286" s="16" t="n">
        <v>14</v>
      </c>
      <c r="G286" s="16" t="inlineStr">
        <is>
          <t>A pie</t>
        </is>
      </c>
      <c r="H286" s="16" t="inlineStr">
        <is>
          <t>Mismo cluster</t>
        </is>
      </c>
      <c r="I286" s="16" t="inlineStr">
        <is>
          <t>Estimación geográfica; validar ruta real</t>
        </is>
      </c>
    </row>
    <row r="287" ht="44" customHeight="1">
      <c r="A287" s="16" t="inlineStr">
        <is>
          <t>JP-111</t>
        </is>
      </c>
      <c r="B287" s="16" t="inlineStr">
        <is>
          <t>JP-110</t>
        </is>
      </c>
      <c r="C287" s="16" t="inlineStr">
        <is>
          <t>Abeno Harukas 300</t>
        </is>
      </c>
      <c r="D287" s="16" t="inlineStr">
        <is>
          <t>Tsutenkaku</t>
        </is>
      </c>
      <c r="E287" s="93" t="n">
        <v>0.99</v>
      </c>
      <c r="F287" s="16" t="n">
        <v>14</v>
      </c>
      <c r="G287" s="16" t="inlineStr">
        <is>
          <t>A pie</t>
        </is>
      </c>
      <c r="H287" s="16" t="inlineStr">
        <is>
          <t>Mismo cluster</t>
        </is>
      </c>
      <c r="I287" s="16" t="inlineStr">
        <is>
          <t>Estimación geográfica; validar ruta real</t>
        </is>
      </c>
    </row>
    <row r="288" ht="44" customHeight="1">
      <c r="A288" s="16" t="inlineStr">
        <is>
          <t>JP-111</t>
        </is>
      </c>
      <c r="B288" s="16" t="inlineStr">
        <is>
          <t>JP-119</t>
        </is>
      </c>
      <c r="C288" s="16" t="inlineStr">
        <is>
          <t>Abeno Harukas 300</t>
        </is>
      </c>
      <c r="D288" s="16" t="inlineStr">
        <is>
          <t>Shitennō-ji</t>
        </is>
      </c>
      <c r="E288" s="93" t="n">
        <v>1</v>
      </c>
      <c r="F288" s="16" t="n">
        <v>14</v>
      </c>
      <c r="G288" s="16" t="inlineStr">
        <is>
          <t>A pie</t>
        </is>
      </c>
      <c r="H288" s="16" t="inlineStr">
        <is>
          <t>Mismo cluster</t>
        </is>
      </c>
      <c r="I288" s="16" t="inlineStr">
        <is>
          <t>Estimación geográfica; validar ruta real</t>
        </is>
      </c>
    </row>
    <row r="289" ht="44" customHeight="1">
      <c r="A289" s="16" t="inlineStr">
        <is>
          <t>JP-112</t>
        </is>
      </c>
      <c r="B289" s="16" t="inlineStr">
        <is>
          <t>JP-113</t>
        </is>
      </c>
      <c r="C289" s="16" t="inlineStr">
        <is>
          <t>Umeda Sky Building</t>
        </is>
      </c>
      <c r="D289" s="16" t="inlineStr">
        <is>
          <t>Grand Green Osaka</t>
        </is>
      </c>
      <c r="E289" s="93" t="n">
        <v>0.32</v>
      </c>
      <c r="F289" s="16" t="n">
        <v>5</v>
      </c>
      <c r="G289" s="16" t="inlineStr">
        <is>
          <t>A pie</t>
        </is>
      </c>
      <c r="H289" s="16" t="inlineStr">
        <is>
          <t>Mismo cluster</t>
        </is>
      </c>
      <c r="I289" s="16" t="inlineStr">
        <is>
          <t>Estimación geográfica; validar ruta real</t>
        </is>
      </c>
    </row>
    <row r="290" ht="44" customHeight="1">
      <c r="A290" s="16" t="inlineStr">
        <is>
          <t>JP-112</t>
        </is>
      </c>
      <c r="B290" s="16" t="inlineStr">
        <is>
          <t>JP-115</t>
        </is>
      </c>
      <c r="C290" s="16" t="inlineStr">
        <is>
          <t>Umeda Sky Building</t>
        </is>
      </c>
      <c r="D290" s="16" t="inlineStr">
        <is>
          <t>Nakanoshima Museum of Art</t>
        </is>
      </c>
      <c r="E290" s="93" t="n">
        <v>1.53</v>
      </c>
      <c r="F290" s="16" t="n">
        <v>21</v>
      </c>
      <c r="G290" s="16" t="inlineStr">
        <is>
          <t>A pie</t>
        </is>
      </c>
      <c r="H290" s="16" t="inlineStr">
        <is>
          <t>Cercano</t>
        </is>
      </c>
      <c r="I290" s="16" t="inlineStr">
        <is>
          <t>Estimación geográfica; validar ruta real</t>
        </is>
      </c>
    </row>
    <row r="291" ht="44" customHeight="1">
      <c r="A291" s="16" t="inlineStr">
        <is>
          <t>JP-112</t>
        </is>
      </c>
      <c r="B291" s="16" t="inlineStr">
        <is>
          <t>JP-116</t>
        </is>
      </c>
      <c r="C291" s="16" t="inlineStr">
        <is>
          <t>Umeda Sky Building</t>
        </is>
      </c>
      <c r="D291" s="16" t="inlineStr">
        <is>
          <t>Osaka Museum of Housing and Living</t>
        </is>
      </c>
      <c r="E291" s="93" t="n">
        <v>2</v>
      </c>
      <c r="F291" s="16" t="n">
        <v>16</v>
      </c>
      <c r="G291" s="16" t="inlineStr">
        <is>
          <t>Transporte local</t>
        </is>
      </c>
      <c r="H291" s="16" t="inlineStr">
        <is>
          <t>Cercano</t>
        </is>
      </c>
      <c r="I291" s="16" t="inlineStr">
        <is>
          <t>Estimación geográfica; validar ruta real</t>
        </is>
      </c>
    </row>
    <row r="292" ht="44" customHeight="1">
      <c r="A292" s="16" t="inlineStr">
        <is>
          <t>JP-113</t>
        </is>
      </c>
      <c r="B292" s="16" t="inlineStr">
        <is>
          <t>JP-112</t>
        </is>
      </c>
      <c r="C292" s="16" t="inlineStr">
        <is>
          <t>Grand Green Osaka</t>
        </is>
      </c>
      <c r="D292" s="16" t="inlineStr">
        <is>
          <t>Umeda Sky Building</t>
        </is>
      </c>
      <c r="E292" s="93" t="n">
        <v>0.32</v>
      </c>
      <c r="F292" s="16" t="n">
        <v>5</v>
      </c>
      <c r="G292" s="16" t="inlineStr">
        <is>
          <t>A pie</t>
        </is>
      </c>
      <c r="H292" s="16" t="inlineStr">
        <is>
          <t>Mismo cluster</t>
        </is>
      </c>
      <c r="I292" s="16" t="inlineStr">
        <is>
          <t>Estimación geográfica; validar ruta real</t>
        </is>
      </c>
    </row>
    <row r="293" ht="44" customHeight="1">
      <c r="A293" s="16" t="inlineStr">
        <is>
          <t>JP-113</t>
        </is>
      </c>
      <c r="B293" s="16" t="inlineStr">
        <is>
          <t>JP-115</t>
        </is>
      </c>
      <c r="C293" s="16" t="inlineStr">
        <is>
          <t>Grand Green Osaka</t>
        </is>
      </c>
      <c r="D293" s="16" t="inlineStr">
        <is>
          <t>Nakanoshima Museum of Art</t>
        </is>
      </c>
      <c r="E293" s="93" t="n">
        <v>1.52</v>
      </c>
      <c r="F293" s="16" t="n">
        <v>21</v>
      </c>
      <c r="G293" s="16" t="inlineStr">
        <is>
          <t>A pie</t>
        </is>
      </c>
      <c r="H293" s="16" t="inlineStr">
        <is>
          <t>Cercano</t>
        </is>
      </c>
      <c r="I293" s="16" t="inlineStr">
        <is>
          <t>Estimación geográfica; validar ruta real</t>
        </is>
      </c>
    </row>
    <row r="294" ht="44" customHeight="1">
      <c r="A294" s="16" t="inlineStr">
        <is>
          <t>JP-113</t>
        </is>
      </c>
      <c r="B294" s="16" t="inlineStr">
        <is>
          <t>JP-116</t>
        </is>
      </c>
      <c r="C294" s="16" t="inlineStr">
        <is>
          <t>Grand Green Osaka</t>
        </is>
      </c>
      <c r="D294" s="16" t="inlineStr">
        <is>
          <t>Osaka Museum of Housing and Living</t>
        </is>
      </c>
      <c r="E294" s="93" t="n">
        <v>1.72</v>
      </c>
      <c r="F294" s="16" t="n">
        <v>24</v>
      </c>
      <c r="G294" s="16" t="inlineStr">
        <is>
          <t>A pie</t>
        </is>
      </c>
      <c r="H294" s="16" t="inlineStr">
        <is>
          <t>Cercano</t>
        </is>
      </c>
      <c r="I294" s="16" t="inlineStr">
        <is>
          <t>Estimación geográfica; validar ruta real</t>
        </is>
      </c>
    </row>
    <row r="295" ht="44" customHeight="1">
      <c r="A295" s="16" t="inlineStr">
        <is>
          <t>JP-114</t>
        </is>
      </c>
      <c r="B295" s="16" t="inlineStr">
        <is>
          <t>JP-115</t>
        </is>
      </c>
      <c r="C295" s="16" t="inlineStr">
        <is>
          <t>Nakanoshima waterfront</t>
        </is>
      </c>
      <c r="D295" s="16" t="inlineStr">
        <is>
          <t>Nakanoshima Museum of Art</t>
        </is>
      </c>
      <c r="E295" s="93" t="n">
        <v>1.44</v>
      </c>
      <c r="F295" s="16" t="n">
        <v>20</v>
      </c>
      <c r="G295" s="16" t="inlineStr">
        <is>
          <t>A pie</t>
        </is>
      </c>
      <c r="H295" s="16" t="inlineStr">
        <is>
          <t>Mismo cluster</t>
        </is>
      </c>
      <c r="I295" s="16" t="inlineStr">
        <is>
          <t>Estimación geográfica; validar ruta real</t>
        </is>
      </c>
    </row>
    <row r="296" ht="44" customHeight="1">
      <c r="A296" s="16" t="inlineStr">
        <is>
          <t>JP-114</t>
        </is>
      </c>
      <c r="B296" s="16" t="inlineStr">
        <is>
          <t>JP-118</t>
        </is>
      </c>
      <c r="C296" s="16" t="inlineStr">
        <is>
          <t>Nakanoshima waterfront</t>
        </is>
      </c>
      <c r="D296" s="16" t="inlineStr">
        <is>
          <t>Osaka Museum of History</t>
        </is>
      </c>
      <c r="E296" s="93" t="n">
        <v>1.75</v>
      </c>
      <c r="F296" s="16" t="n">
        <v>25</v>
      </c>
      <c r="G296" s="16" t="inlineStr">
        <is>
          <t>A pie</t>
        </is>
      </c>
      <c r="H296" s="16" t="inlineStr">
        <is>
          <t>Cercano</t>
        </is>
      </c>
      <c r="I296" s="16" t="inlineStr">
        <is>
          <t>Estimación geográfica; validar ruta real</t>
        </is>
      </c>
    </row>
    <row r="297" ht="44" customHeight="1">
      <c r="A297" s="16" t="inlineStr">
        <is>
          <t>JP-114</t>
        </is>
      </c>
      <c r="B297" s="16" t="inlineStr">
        <is>
          <t>JP-113</t>
        </is>
      </c>
      <c r="C297" s="16" t="inlineStr">
        <is>
          <t>Nakanoshima waterfront</t>
        </is>
      </c>
      <c r="D297" s="16" t="inlineStr">
        <is>
          <t>Grand Green Osaka</t>
        </is>
      </c>
      <c r="E297" s="93" t="n">
        <v>1.77</v>
      </c>
      <c r="F297" s="16" t="n">
        <v>25</v>
      </c>
      <c r="G297" s="16" t="inlineStr">
        <is>
          <t>A pie</t>
        </is>
      </c>
      <c r="H297" s="16" t="inlineStr">
        <is>
          <t>Cercano</t>
        </is>
      </c>
      <c r="I297" s="16" t="inlineStr">
        <is>
          <t>Estimación geográfica; validar ruta real</t>
        </is>
      </c>
    </row>
    <row r="298" ht="44" customHeight="1">
      <c r="A298" s="16" t="inlineStr">
        <is>
          <t>JP-115</t>
        </is>
      </c>
      <c r="B298" s="16" t="inlineStr">
        <is>
          <t>JP-114</t>
        </is>
      </c>
      <c r="C298" s="16" t="inlineStr">
        <is>
          <t>Nakanoshima Museum of Art</t>
        </is>
      </c>
      <c r="D298" s="16" t="inlineStr">
        <is>
          <t>Nakanoshima waterfront</t>
        </is>
      </c>
      <c r="E298" s="93" t="n">
        <v>1.44</v>
      </c>
      <c r="F298" s="16" t="n">
        <v>20</v>
      </c>
      <c r="G298" s="16" t="inlineStr">
        <is>
          <t>A pie</t>
        </is>
      </c>
      <c r="H298" s="16" t="inlineStr">
        <is>
          <t>Mismo cluster</t>
        </is>
      </c>
      <c r="I298" s="16" t="inlineStr">
        <is>
          <t>Estimación geográfica; validar ruta real</t>
        </is>
      </c>
    </row>
    <row r="299" ht="44" customHeight="1">
      <c r="A299" s="16" t="inlineStr">
        <is>
          <t>JP-115</t>
        </is>
      </c>
      <c r="B299" s="16" t="inlineStr">
        <is>
          <t>JP-113</t>
        </is>
      </c>
      <c r="C299" s="16" t="inlineStr">
        <is>
          <t>Nakanoshima Museum of Art</t>
        </is>
      </c>
      <c r="D299" s="16" t="inlineStr">
        <is>
          <t>Grand Green Osaka</t>
        </is>
      </c>
      <c r="E299" s="93" t="n">
        <v>1.52</v>
      </c>
      <c r="F299" s="16" t="n">
        <v>21</v>
      </c>
      <c r="G299" s="16" t="inlineStr">
        <is>
          <t>A pie</t>
        </is>
      </c>
      <c r="H299" s="16" t="inlineStr">
        <is>
          <t>Cercano</t>
        </is>
      </c>
      <c r="I299" s="16" t="inlineStr">
        <is>
          <t>Estimación geográfica; validar ruta real</t>
        </is>
      </c>
    </row>
    <row r="300" ht="44" customHeight="1">
      <c r="A300" s="16" t="inlineStr">
        <is>
          <t>JP-115</t>
        </is>
      </c>
      <c r="B300" s="16" t="inlineStr">
        <is>
          <t>JP-112</t>
        </is>
      </c>
      <c r="C300" s="16" t="inlineStr">
        <is>
          <t>Nakanoshima Museum of Art</t>
        </is>
      </c>
      <c r="D300" s="16" t="inlineStr">
        <is>
          <t>Umeda Sky Building</t>
        </is>
      </c>
      <c r="E300" s="93" t="n">
        <v>1.53</v>
      </c>
      <c r="F300" s="16" t="n">
        <v>21</v>
      </c>
      <c r="G300" s="16" t="inlineStr">
        <is>
          <t>A pie</t>
        </is>
      </c>
      <c r="H300" s="16" t="inlineStr">
        <is>
          <t>Cercano</t>
        </is>
      </c>
      <c r="I300" s="16" t="inlineStr">
        <is>
          <t>Estimación geográfica; validar ruta real</t>
        </is>
      </c>
    </row>
    <row r="301" ht="44" customHeight="1">
      <c r="A301" s="16" t="inlineStr">
        <is>
          <t>JP-116</t>
        </is>
      </c>
      <c r="B301" s="16" t="inlineStr">
        <is>
          <t>JP-113</t>
        </is>
      </c>
      <c r="C301" s="16" t="inlineStr">
        <is>
          <t>Osaka Museum of Housing and Living</t>
        </is>
      </c>
      <c r="D301" s="16" t="inlineStr">
        <is>
          <t>Grand Green Osaka</t>
        </is>
      </c>
      <c r="E301" s="93" t="n">
        <v>1.72</v>
      </c>
      <c r="F301" s="16" t="n">
        <v>24</v>
      </c>
      <c r="G301" s="16" t="inlineStr">
        <is>
          <t>A pie</t>
        </is>
      </c>
      <c r="H301" s="16" t="inlineStr">
        <is>
          <t>Cercano</t>
        </is>
      </c>
      <c r="I301" s="16" t="inlineStr">
        <is>
          <t>Estimación geográfica; validar ruta real</t>
        </is>
      </c>
    </row>
    <row r="302" ht="44" customHeight="1">
      <c r="A302" s="16" t="inlineStr">
        <is>
          <t>JP-116</t>
        </is>
      </c>
      <c r="B302" s="16" t="inlineStr">
        <is>
          <t>JP-112</t>
        </is>
      </c>
      <c r="C302" s="16" t="inlineStr">
        <is>
          <t>Osaka Museum of Housing and Living</t>
        </is>
      </c>
      <c r="D302" s="16" t="inlineStr">
        <is>
          <t>Umeda Sky Building</t>
        </is>
      </c>
      <c r="E302" s="93" t="n">
        <v>2</v>
      </c>
      <c r="F302" s="16" t="n">
        <v>16</v>
      </c>
      <c r="G302" s="16" t="inlineStr">
        <is>
          <t>Transporte local</t>
        </is>
      </c>
      <c r="H302" s="16" t="inlineStr">
        <is>
          <t>Cercano</t>
        </is>
      </c>
      <c r="I302" s="16" t="inlineStr">
        <is>
          <t>Estimación geográfica; validar ruta real</t>
        </is>
      </c>
    </row>
    <row r="303" ht="44" customHeight="1">
      <c r="A303" s="16" t="inlineStr">
        <is>
          <t>JP-116</t>
        </is>
      </c>
      <c r="B303" s="16" t="inlineStr">
        <is>
          <t>JP-114</t>
        </is>
      </c>
      <c r="C303" s="16" t="inlineStr">
        <is>
          <t>Osaka Museum of Housing and Living</t>
        </is>
      </c>
      <c r="D303" s="16" t="inlineStr">
        <is>
          <t>Nakanoshima waterfront</t>
        </is>
      </c>
      <c r="E303" s="93" t="n">
        <v>2.07</v>
      </c>
      <c r="F303" s="16" t="n">
        <v>17</v>
      </c>
      <c r="G303" s="16" t="inlineStr">
        <is>
          <t>Transporte local</t>
        </is>
      </c>
      <c r="H303" s="16" t="inlineStr">
        <is>
          <t>Cercano</t>
        </is>
      </c>
      <c r="I303" s="16" t="inlineStr">
        <is>
          <t>Estimación geográfica; validar ruta real</t>
        </is>
      </c>
    </row>
    <row r="304" ht="44" customHeight="1">
      <c r="A304" s="16" t="inlineStr">
        <is>
          <t>JP-117</t>
        </is>
      </c>
      <c r="B304" s="16" t="inlineStr">
        <is>
          <t>JP-118</t>
        </is>
      </c>
      <c r="C304" s="16" t="inlineStr">
        <is>
          <t>Osaka Castle Park and exterior</t>
        </is>
      </c>
      <c r="D304" s="16" t="inlineStr">
        <is>
          <t>Osaka Museum of History</t>
        </is>
      </c>
      <c r="E304" s="93" t="n">
        <v>0.72</v>
      </c>
      <c r="F304" s="16" t="n">
        <v>10</v>
      </c>
      <c r="G304" s="16" t="inlineStr">
        <is>
          <t>A pie</t>
        </is>
      </c>
      <c r="H304" s="16" t="inlineStr">
        <is>
          <t>Mismo cluster</t>
        </is>
      </c>
      <c r="I304" s="16" t="inlineStr">
        <is>
          <t>Estimación geográfica; validar ruta real</t>
        </is>
      </c>
    </row>
    <row r="305" ht="44" customHeight="1">
      <c r="A305" s="16" t="inlineStr">
        <is>
          <t>JP-117</t>
        </is>
      </c>
      <c r="B305" s="16" t="inlineStr">
        <is>
          <t>JP-114</t>
        </is>
      </c>
      <c r="C305" s="16" t="inlineStr">
        <is>
          <t>Osaka Castle Park and exterior</t>
        </is>
      </c>
      <c r="D305" s="16" t="inlineStr">
        <is>
          <t>Nakanoshima waterfront</t>
        </is>
      </c>
      <c r="E305" s="93" t="n">
        <v>1.97</v>
      </c>
      <c r="F305" s="16" t="n">
        <v>16</v>
      </c>
      <c r="G305" s="16" t="inlineStr">
        <is>
          <t>Transporte local</t>
        </is>
      </c>
      <c r="H305" s="16" t="inlineStr">
        <is>
          <t>Cercano</t>
        </is>
      </c>
      <c r="I305" s="16" t="inlineStr">
        <is>
          <t>Estimación geográfica; validar ruta real</t>
        </is>
      </c>
    </row>
    <row r="306" ht="44" customHeight="1">
      <c r="A306" s="16" t="inlineStr">
        <is>
          <t>JP-118</t>
        </is>
      </c>
      <c r="B306" s="16" t="inlineStr">
        <is>
          <t>JP-117</t>
        </is>
      </c>
      <c r="C306" s="16" t="inlineStr">
        <is>
          <t>Osaka Museum of History</t>
        </is>
      </c>
      <c r="D306" s="16" t="inlineStr">
        <is>
          <t>Osaka Castle Park and exterior</t>
        </is>
      </c>
      <c r="E306" s="93" t="n">
        <v>0.72</v>
      </c>
      <c r="F306" s="16" t="n">
        <v>10</v>
      </c>
      <c r="G306" s="16" t="inlineStr">
        <is>
          <t>A pie</t>
        </is>
      </c>
      <c r="H306" s="16" t="inlineStr">
        <is>
          <t>Mismo cluster</t>
        </is>
      </c>
      <c r="I306" s="16" t="inlineStr">
        <is>
          <t>Estimación geográfica; validar ruta real</t>
        </is>
      </c>
    </row>
    <row r="307" ht="44" customHeight="1">
      <c r="A307" s="16" t="inlineStr">
        <is>
          <t>JP-118</t>
        </is>
      </c>
      <c r="B307" s="16" t="inlineStr">
        <is>
          <t>JP-114</t>
        </is>
      </c>
      <c r="C307" s="16" t="inlineStr">
        <is>
          <t>Osaka Museum of History</t>
        </is>
      </c>
      <c r="D307" s="16" t="inlineStr">
        <is>
          <t>Nakanoshima waterfront</t>
        </is>
      </c>
      <c r="E307" s="93" t="n">
        <v>1.75</v>
      </c>
      <c r="F307" s="16" t="n">
        <v>25</v>
      </c>
      <c r="G307" s="16" t="inlineStr">
        <is>
          <t>A pie</t>
        </is>
      </c>
      <c r="H307" s="16" t="inlineStr">
        <is>
          <t>Cercano</t>
        </is>
      </c>
      <c r="I307" s="16" t="inlineStr">
        <is>
          <t>Estimación geográfica; validar ruta real</t>
        </is>
      </c>
    </row>
    <row r="308" ht="44" customHeight="1">
      <c r="A308" s="16" t="inlineStr">
        <is>
          <t>JP-118</t>
        </is>
      </c>
      <c r="B308" s="16" t="inlineStr">
        <is>
          <t>JP-106</t>
        </is>
      </c>
      <c r="C308" s="16" t="inlineStr">
        <is>
          <t>Osaka Museum of History</t>
        </is>
      </c>
      <c r="D308" s="16" t="inlineStr">
        <is>
          <t>Kuromon Ichiba Market</t>
        </is>
      </c>
      <c r="E308" s="93" t="n">
        <v>2.33</v>
      </c>
      <c r="F308" s="16" t="n">
        <v>19</v>
      </c>
      <c r="G308" s="16" t="inlineStr">
        <is>
          <t>Transporte local</t>
        </is>
      </c>
      <c r="H308" s="16" t="inlineStr">
        <is>
          <t>Cercano</t>
        </is>
      </c>
      <c r="I308" s="16" t="inlineStr">
        <is>
          <t>Estimación geográfica; validar ruta real</t>
        </is>
      </c>
    </row>
    <row r="309" ht="44" customHeight="1">
      <c r="A309" s="16" t="inlineStr">
        <is>
          <t>JP-119</t>
        </is>
      </c>
      <c r="B309" s="16" t="inlineStr">
        <is>
          <t>JP-108</t>
        </is>
      </c>
      <c r="C309" s="16" t="inlineStr">
        <is>
          <t>Shitennō-ji</t>
        </is>
      </c>
      <c r="D309" s="16" t="inlineStr">
        <is>
          <t>Den Den Town</t>
        </is>
      </c>
      <c r="E309" s="93" t="n">
        <v>0.96</v>
      </c>
      <c r="F309" s="16" t="n">
        <v>13</v>
      </c>
      <c r="G309" s="16" t="inlineStr">
        <is>
          <t>A pie</t>
        </is>
      </c>
      <c r="H309" s="16" t="inlineStr">
        <is>
          <t>Cercano</t>
        </is>
      </c>
      <c r="I309" s="16" t="inlineStr">
        <is>
          <t>Estimación geográfica; validar ruta real</t>
        </is>
      </c>
    </row>
    <row r="310" ht="44" customHeight="1">
      <c r="A310" s="16" t="inlineStr">
        <is>
          <t>JP-119</t>
        </is>
      </c>
      <c r="B310" s="16" t="inlineStr">
        <is>
          <t>JP-109</t>
        </is>
      </c>
      <c r="C310" s="16" t="inlineStr">
        <is>
          <t>Shitennō-ji</t>
        </is>
      </c>
      <c r="D310" s="16" t="inlineStr">
        <is>
          <t>Shinsekai</t>
        </is>
      </c>
      <c r="E310" s="93" t="n">
        <v>0.97</v>
      </c>
      <c r="F310" s="16" t="n">
        <v>14</v>
      </c>
      <c r="G310" s="16" t="inlineStr">
        <is>
          <t>A pie</t>
        </is>
      </c>
      <c r="H310" s="16" t="inlineStr">
        <is>
          <t>Mismo cluster</t>
        </is>
      </c>
      <c r="I310" s="16" t="inlineStr">
        <is>
          <t>Estimación geográfica; validar ruta real</t>
        </is>
      </c>
    </row>
    <row r="311" ht="44" customHeight="1">
      <c r="A311" s="16" t="inlineStr">
        <is>
          <t>JP-119</t>
        </is>
      </c>
      <c r="B311" s="16" t="inlineStr">
        <is>
          <t>JP-110</t>
        </is>
      </c>
      <c r="C311" s="16" t="inlineStr">
        <is>
          <t>Shitennō-ji</t>
        </is>
      </c>
      <c r="D311" s="16" t="inlineStr">
        <is>
          <t>Tsutenkaku</t>
        </is>
      </c>
      <c r="E311" s="93" t="n">
        <v>0.98</v>
      </c>
      <c r="F311" s="16" t="n">
        <v>14</v>
      </c>
      <c r="G311" s="16" t="inlineStr">
        <is>
          <t>A pie</t>
        </is>
      </c>
      <c r="H311" s="16" t="inlineStr">
        <is>
          <t>Mismo cluster</t>
        </is>
      </c>
      <c r="I311" s="16" t="inlineStr">
        <is>
          <t>Estimación geográfica; validar ruta real</t>
        </is>
      </c>
    </row>
    <row r="312" ht="44" customHeight="1">
      <c r="A312" s="16" t="inlineStr">
        <is>
          <t>JP-121</t>
        </is>
      </c>
      <c r="B312" s="16" t="inlineStr">
        <is>
          <t>JP-123</t>
        </is>
      </c>
      <c r="C312" s="16" t="inlineStr">
        <is>
          <t>Expo ’70 Park + Tower of the Sun</t>
        </is>
      </c>
      <c r="D312" s="16" t="inlineStr">
        <is>
          <t>Church of the Light</t>
        </is>
      </c>
      <c r="E312" s="93" t="n">
        <v>1.71</v>
      </c>
      <c r="F312" s="16" t="n">
        <v>24</v>
      </c>
      <c r="G312" s="16" t="inlineStr">
        <is>
          <t>A pie</t>
        </is>
      </c>
      <c r="H312" s="16" t="inlineStr">
        <is>
          <t>Cercano</t>
        </is>
      </c>
      <c r="I312" s="16" t="inlineStr">
        <is>
          <t>Estimación geográfica; validar ruta real</t>
        </is>
      </c>
    </row>
    <row r="313" ht="44" customHeight="1">
      <c r="A313" s="16" t="inlineStr">
        <is>
          <t>JP-123</t>
        </is>
      </c>
      <c r="B313" s="16" t="inlineStr">
        <is>
          <t>JP-121</t>
        </is>
      </c>
      <c r="C313" s="16" t="inlineStr">
        <is>
          <t>Church of the Light</t>
        </is>
      </c>
      <c r="D313" s="16" t="inlineStr">
        <is>
          <t>Expo ’70 Park + Tower of the Sun</t>
        </is>
      </c>
      <c r="E313" s="93" t="n">
        <v>1.71</v>
      </c>
      <c r="F313" s="16" t="n">
        <v>24</v>
      </c>
      <c r="G313" s="16" t="inlineStr">
        <is>
          <t>A pie</t>
        </is>
      </c>
      <c r="H313" s="16" t="inlineStr">
        <is>
          <t>Cercano</t>
        </is>
      </c>
      <c r="I313" s="16" t="inlineStr">
        <is>
          <t>Estimación geográfica; validar ruta real</t>
        </is>
      </c>
    </row>
    <row r="314" ht="44" customHeight="1">
      <c r="A314" s="16" t="inlineStr">
        <is>
          <t>JP-124</t>
        </is>
      </c>
      <c r="B314" s="16" t="inlineStr">
        <is>
          <t>JP-125</t>
        </is>
      </c>
      <c r="C314" s="16" t="inlineStr">
        <is>
          <t>Osaka Aquarium Kaiyukan</t>
        </is>
      </c>
      <c r="D314" s="16" t="inlineStr">
        <is>
          <t>Universal Studios Japan</t>
        </is>
      </c>
      <c r="E314" s="93" t="n">
        <v>1.25</v>
      </c>
      <c r="F314" s="16" t="n">
        <v>18</v>
      </c>
      <c r="G314" s="16" t="inlineStr">
        <is>
          <t>A pie</t>
        </is>
      </c>
      <c r="H314" s="16" t="inlineStr">
        <is>
          <t>Mismo cluster</t>
        </is>
      </c>
      <c r="I314" s="16" t="inlineStr">
        <is>
          <t>Estimación geográfica; validar ruta real</t>
        </is>
      </c>
    </row>
    <row r="315" ht="44" customHeight="1">
      <c r="A315" s="16" t="inlineStr">
        <is>
          <t>JP-124</t>
        </is>
      </c>
      <c r="B315" s="16" t="inlineStr">
        <is>
          <t>JP-126</t>
        </is>
      </c>
      <c r="C315" s="16" t="inlineStr">
        <is>
          <t>Osaka Aquarium Kaiyukan</t>
        </is>
      </c>
      <c r="D315" s="16" t="inlineStr">
        <is>
          <t>SUPER NINTENDO WORLD</t>
        </is>
      </c>
      <c r="E315" s="93" t="n">
        <v>1.49</v>
      </c>
      <c r="F315" s="16" t="n">
        <v>21</v>
      </c>
      <c r="G315" s="16" t="inlineStr">
        <is>
          <t>A pie</t>
        </is>
      </c>
      <c r="H315" s="16" t="inlineStr">
        <is>
          <t>Mismo cluster</t>
        </is>
      </c>
      <c r="I315" s="16" t="inlineStr">
        <is>
          <t>Estimación geográfica; validar ruta real</t>
        </is>
      </c>
    </row>
    <row r="316" ht="44" customHeight="1">
      <c r="A316" s="16" t="inlineStr">
        <is>
          <t>JP-125</t>
        </is>
      </c>
      <c r="B316" s="16" t="inlineStr">
        <is>
          <t>JP-126</t>
        </is>
      </c>
      <c r="C316" s="16" t="inlineStr">
        <is>
          <t>Universal Studios Japan</t>
        </is>
      </c>
      <c r="D316" s="16" t="inlineStr">
        <is>
          <t>SUPER NINTENDO WORLD</t>
        </is>
      </c>
      <c r="E316" s="93" t="n">
        <v>0.26</v>
      </c>
      <c r="F316" s="16" t="n">
        <v>4</v>
      </c>
      <c r="G316" s="16" t="inlineStr">
        <is>
          <t>A pie</t>
        </is>
      </c>
      <c r="H316" s="16" t="inlineStr">
        <is>
          <t>Mismo cluster</t>
        </is>
      </c>
      <c r="I316" s="16" t="inlineStr">
        <is>
          <t>Estimación geográfica; validar ruta real</t>
        </is>
      </c>
    </row>
    <row r="317" ht="44" customHeight="1">
      <c r="A317" s="16" t="inlineStr">
        <is>
          <t>JP-125</t>
        </is>
      </c>
      <c r="B317" s="16" t="inlineStr">
        <is>
          <t>JP-124</t>
        </is>
      </c>
      <c r="C317" s="16" t="inlineStr">
        <is>
          <t>Universal Studios Japan</t>
        </is>
      </c>
      <c r="D317" s="16" t="inlineStr">
        <is>
          <t>Osaka Aquarium Kaiyukan</t>
        </is>
      </c>
      <c r="E317" s="93" t="n">
        <v>1.25</v>
      </c>
      <c r="F317" s="16" t="n">
        <v>18</v>
      </c>
      <c r="G317" s="16" t="inlineStr">
        <is>
          <t>A pie</t>
        </is>
      </c>
      <c r="H317" s="16" t="inlineStr">
        <is>
          <t>Mismo cluster</t>
        </is>
      </c>
      <c r="I317" s="16" t="inlineStr">
        <is>
          <t>Estimación geográfica; validar ruta real</t>
        </is>
      </c>
    </row>
    <row r="318" ht="44" customHeight="1">
      <c r="A318" s="16" t="inlineStr">
        <is>
          <t>JP-126</t>
        </is>
      </c>
      <c r="B318" s="16" t="inlineStr">
        <is>
          <t>JP-125</t>
        </is>
      </c>
      <c r="C318" s="16" t="inlineStr">
        <is>
          <t>SUPER NINTENDO WORLD</t>
        </is>
      </c>
      <c r="D318" s="16" t="inlineStr">
        <is>
          <t>Universal Studios Japan</t>
        </is>
      </c>
      <c r="E318" s="93" t="n">
        <v>0.26</v>
      </c>
      <c r="F318" s="16" t="n">
        <v>4</v>
      </c>
      <c r="G318" s="16" t="inlineStr">
        <is>
          <t>A pie</t>
        </is>
      </c>
      <c r="H318" s="16" t="inlineStr">
        <is>
          <t>Mismo cluster</t>
        </is>
      </c>
      <c r="I318" s="16" t="inlineStr">
        <is>
          <t>Estimación geográfica; validar ruta real</t>
        </is>
      </c>
    </row>
    <row r="319" ht="44" customHeight="1">
      <c r="A319" s="16" t="inlineStr">
        <is>
          <t>JP-126</t>
        </is>
      </c>
      <c r="B319" s="16" t="inlineStr">
        <is>
          <t>JP-124</t>
        </is>
      </c>
      <c r="C319" s="16" t="inlineStr">
        <is>
          <t>SUPER NINTENDO WORLD</t>
        </is>
      </c>
      <c r="D319" s="16" t="inlineStr">
        <is>
          <t>Osaka Aquarium Kaiyukan</t>
        </is>
      </c>
      <c r="E319" s="93" t="n">
        <v>1.49</v>
      </c>
      <c r="F319" s="16" t="n">
        <v>21</v>
      </c>
      <c r="G319" s="16" t="inlineStr">
        <is>
          <t>A pie</t>
        </is>
      </c>
      <c r="H319" s="16" t="inlineStr">
        <is>
          <t>Mismo cluster</t>
        </is>
      </c>
      <c r="I319" s="16" t="inlineStr">
        <is>
          <t>Estimación geográfica; validar ruta real</t>
        </is>
      </c>
    </row>
    <row r="320" ht="44" customHeight="1">
      <c r="A320" s="16" t="inlineStr">
        <is>
          <t>JP-129</t>
        </is>
      </c>
      <c r="B320" s="16" t="inlineStr">
        <is>
          <t>JP-132</t>
        </is>
      </c>
      <c r="C320" s="16" t="inlineStr">
        <is>
          <t>Tōdai-ji</t>
        </is>
      </c>
      <c r="D320" s="16" t="inlineStr">
        <is>
          <t>Isuien Garden</t>
        </is>
      </c>
      <c r="E320" s="93" t="n">
        <v>0.4</v>
      </c>
      <c r="F320" s="16" t="n">
        <v>6</v>
      </c>
      <c r="G320" s="16" t="inlineStr">
        <is>
          <t>A pie</t>
        </is>
      </c>
      <c r="H320" s="16" t="inlineStr">
        <is>
          <t>Mismo cluster</t>
        </is>
      </c>
      <c r="I320" s="16" t="inlineStr">
        <is>
          <t>Estimación geográfica; validar ruta real</t>
        </is>
      </c>
    </row>
    <row r="321" ht="44" customHeight="1">
      <c r="A321" s="16" t="inlineStr">
        <is>
          <t>JP-129</t>
        </is>
      </c>
      <c r="B321" s="16" t="inlineStr">
        <is>
          <t>JP-130</t>
        </is>
      </c>
      <c r="C321" s="16" t="inlineStr">
        <is>
          <t>Tōdai-ji</t>
        </is>
      </c>
      <c r="D321" s="16" t="inlineStr">
        <is>
          <t>Nara Park deer</t>
        </is>
      </c>
      <c r="E321" s="93" t="n">
        <v>0.53</v>
      </c>
      <c r="F321" s="16" t="n">
        <v>7</v>
      </c>
      <c r="G321" s="16" t="inlineStr">
        <is>
          <t>A pie</t>
        </is>
      </c>
      <c r="H321" s="16" t="inlineStr">
        <is>
          <t>Mismo cluster</t>
        </is>
      </c>
      <c r="I321" s="16" t="inlineStr">
        <is>
          <t>Estimación geográfica; validar ruta real</t>
        </is>
      </c>
    </row>
    <row r="322" ht="44" customHeight="1">
      <c r="A322" s="16" t="inlineStr">
        <is>
          <t>JP-129</t>
        </is>
      </c>
      <c r="B322" s="16" t="inlineStr">
        <is>
          <t>JP-131</t>
        </is>
      </c>
      <c r="C322" s="16" t="inlineStr">
        <is>
          <t>Tōdai-ji</t>
        </is>
      </c>
      <c r="D322" s="16" t="inlineStr">
        <is>
          <t>Kasuga Taisha</t>
        </is>
      </c>
      <c r="E322" s="93" t="n">
        <v>1.15</v>
      </c>
      <c r="F322" s="16" t="n">
        <v>16</v>
      </c>
      <c r="G322" s="16" t="inlineStr">
        <is>
          <t>A pie</t>
        </is>
      </c>
      <c r="H322" s="16" t="inlineStr">
        <is>
          <t>Mismo cluster</t>
        </is>
      </c>
      <c r="I322" s="16" t="inlineStr">
        <is>
          <t>Estimación geográfica; validar ruta real</t>
        </is>
      </c>
    </row>
    <row r="323" ht="44" customHeight="1">
      <c r="A323" s="16" t="inlineStr">
        <is>
          <t>JP-130</t>
        </is>
      </c>
      <c r="B323" s="16" t="inlineStr">
        <is>
          <t>JP-129</t>
        </is>
      </c>
      <c r="C323" s="16" t="inlineStr">
        <is>
          <t>Nara Park deer</t>
        </is>
      </c>
      <c r="D323" s="16" t="inlineStr">
        <is>
          <t>Tōdai-ji</t>
        </is>
      </c>
      <c r="E323" s="93" t="n">
        <v>0.53</v>
      </c>
      <c r="F323" s="16" t="n">
        <v>7</v>
      </c>
      <c r="G323" s="16" t="inlineStr">
        <is>
          <t>A pie</t>
        </is>
      </c>
      <c r="H323" s="16" t="inlineStr">
        <is>
          <t>Mismo cluster</t>
        </is>
      </c>
      <c r="I323" s="16" t="inlineStr">
        <is>
          <t>Estimación geográfica; validar ruta real</t>
        </is>
      </c>
    </row>
    <row r="324" ht="44" customHeight="1">
      <c r="A324" s="16" t="inlineStr">
        <is>
          <t>JP-130</t>
        </is>
      </c>
      <c r="B324" s="16" t="inlineStr">
        <is>
          <t>JP-132</t>
        </is>
      </c>
      <c r="C324" s="16" t="inlineStr">
        <is>
          <t>Nara Park deer</t>
        </is>
      </c>
      <c r="D324" s="16" t="inlineStr">
        <is>
          <t>Isuien Garden</t>
        </is>
      </c>
      <c r="E324" s="93" t="n">
        <v>0.53</v>
      </c>
      <c r="F324" s="16" t="n">
        <v>7</v>
      </c>
      <c r="G324" s="16" t="inlineStr">
        <is>
          <t>A pie</t>
        </is>
      </c>
      <c r="H324" s="16" t="inlineStr">
        <is>
          <t>Mismo cluster</t>
        </is>
      </c>
      <c r="I324" s="16" t="inlineStr">
        <is>
          <t>Estimación geográfica; validar ruta real</t>
        </is>
      </c>
    </row>
    <row r="325" ht="44" customHeight="1">
      <c r="A325" s="16" t="inlineStr">
        <is>
          <t>JP-130</t>
        </is>
      </c>
      <c r="B325" s="16" t="inlineStr">
        <is>
          <t>JP-131</t>
        </is>
      </c>
      <c r="C325" s="16" t="inlineStr">
        <is>
          <t>Nara Park deer</t>
        </is>
      </c>
      <c r="D325" s="16" t="inlineStr">
        <is>
          <t>Kasuga Taisha</t>
        </is>
      </c>
      <c r="E325" s="93" t="n">
        <v>0.64</v>
      </c>
      <c r="F325" s="16" t="n">
        <v>9</v>
      </c>
      <c r="G325" s="16" t="inlineStr">
        <is>
          <t>A pie</t>
        </is>
      </c>
      <c r="H325" s="16" t="inlineStr">
        <is>
          <t>Mismo cluster</t>
        </is>
      </c>
      <c r="I325" s="16" t="inlineStr">
        <is>
          <t>Estimación geográfica; validar ruta real</t>
        </is>
      </c>
    </row>
    <row r="326" ht="44" customHeight="1">
      <c r="A326" s="16" t="inlineStr">
        <is>
          <t>JP-131</t>
        </is>
      </c>
      <c r="B326" s="16" t="inlineStr">
        <is>
          <t>JP-130</t>
        </is>
      </c>
      <c r="C326" s="16" t="inlineStr">
        <is>
          <t>Kasuga Taisha</t>
        </is>
      </c>
      <c r="D326" s="16" t="inlineStr">
        <is>
          <t>Nara Park deer</t>
        </is>
      </c>
      <c r="E326" s="93" t="n">
        <v>0.64</v>
      </c>
      <c r="F326" s="16" t="n">
        <v>9</v>
      </c>
      <c r="G326" s="16" t="inlineStr">
        <is>
          <t>A pie</t>
        </is>
      </c>
      <c r="H326" s="16" t="inlineStr">
        <is>
          <t>Mismo cluster</t>
        </is>
      </c>
      <c r="I326" s="16" t="inlineStr">
        <is>
          <t>Estimación geográfica; validar ruta real</t>
        </is>
      </c>
    </row>
    <row r="327" ht="44" customHeight="1">
      <c r="A327" s="16" t="inlineStr">
        <is>
          <t>JP-131</t>
        </is>
      </c>
      <c r="B327" s="16" t="inlineStr">
        <is>
          <t>JP-132</t>
        </is>
      </c>
      <c r="C327" s="16" t="inlineStr">
        <is>
          <t>Kasuga Taisha</t>
        </is>
      </c>
      <c r="D327" s="16" t="inlineStr">
        <is>
          <t>Isuien Garden</t>
        </is>
      </c>
      <c r="E327" s="93" t="n">
        <v>1.14</v>
      </c>
      <c r="F327" s="16" t="n">
        <v>16</v>
      </c>
      <c r="G327" s="16" t="inlineStr">
        <is>
          <t>A pie</t>
        </is>
      </c>
      <c r="H327" s="16" t="inlineStr">
        <is>
          <t>Mismo cluster</t>
        </is>
      </c>
      <c r="I327" s="16" t="inlineStr">
        <is>
          <t>Estimación geográfica; validar ruta real</t>
        </is>
      </c>
    </row>
    <row r="328" ht="44" customHeight="1">
      <c r="A328" s="16" t="inlineStr">
        <is>
          <t>JP-131</t>
        </is>
      </c>
      <c r="B328" s="16" t="inlineStr">
        <is>
          <t>JP-129</t>
        </is>
      </c>
      <c r="C328" s="16" t="inlineStr">
        <is>
          <t>Kasuga Taisha</t>
        </is>
      </c>
      <c r="D328" s="16" t="inlineStr">
        <is>
          <t>Tōdai-ji</t>
        </is>
      </c>
      <c r="E328" s="93" t="n">
        <v>1.15</v>
      </c>
      <c r="F328" s="16" t="n">
        <v>16</v>
      </c>
      <c r="G328" s="16" t="inlineStr">
        <is>
          <t>A pie</t>
        </is>
      </c>
      <c r="H328" s="16" t="inlineStr">
        <is>
          <t>Mismo cluster</t>
        </is>
      </c>
      <c r="I328" s="16" t="inlineStr">
        <is>
          <t>Estimación geográfica; validar ruta real</t>
        </is>
      </c>
    </row>
    <row r="329" ht="44" customHeight="1">
      <c r="A329" s="16" t="inlineStr">
        <is>
          <t>JP-132</t>
        </is>
      </c>
      <c r="B329" s="16" t="inlineStr">
        <is>
          <t>JP-129</t>
        </is>
      </c>
      <c r="C329" s="16" t="inlineStr">
        <is>
          <t>Isuien Garden</t>
        </is>
      </c>
      <c r="D329" s="16" t="inlineStr">
        <is>
          <t>Tōdai-ji</t>
        </is>
      </c>
      <c r="E329" s="93" t="n">
        <v>0.4</v>
      </c>
      <c r="F329" s="16" t="n">
        <v>6</v>
      </c>
      <c r="G329" s="16" t="inlineStr">
        <is>
          <t>A pie</t>
        </is>
      </c>
      <c r="H329" s="16" t="inlineStr">
        <is>
          <t>Mismo cluster</t>
        </is>
      </c>
      <c r="I329" s="16" t="inlineStr">
        <is>
          <t>Estimación geográfica; validar ruta real</t>
        </is>
      </c>
    </row>
    <row r="330" ht="44" customHeight="1">
      <c r="A330" s="16" t="inlineStr">
        <is>
          <t>JP-132</t>
        </is>
      </c>
      <c r="B330" s="16" t="inlineStr">
        <is>
          <t>JP-130</t>
        </is>
      </c>
      <c r="C330" s="16" t="inlineStr">
        <is>
          <t>Isuien Garden</t>
        </is>
      </c>
      <c r="D330" s="16" t="inlineStr">
        <is>
          <t>Nara Park deer</t>
        </is>
      </c>
      <c r="E330" s="93" t="n">
        <v>0.53</v>
      </c>
      <c r="F330" s="16" t="n">
        <v>7</v>
      </c>
      <c r="G330" s="16" t="inlineStr">
        <is>
          <t>A pie</t>
        </is>
      </c>
      <c r="H330" s="16" t="inlineStr">
        <is>
          <t>Mismo cluster</t>
        </is>
      </c>
      <c r="I330" s="16" t="inlineStr">
        <is>
          <t>Estimación geográfica; validar ruta real</t>
        </is>
      </c>
    </row>
    <row r="331" ht="44" customHeight="1">
      <c r="A331" s="16" t="inlineStr">
        <is>
          <t>JP-132</t>
        </is>
      </c>
      <c r="B331" s="16" t="inlineStr">
        <is>
          <t>JP-131</t>
        </is>
      </c>
      <c r="C331" s="16" t="inlineStr">
        <is>
          <t>Isuien Garden</t>
        </is>
      </c>
      <c r="D331" s="16" t="inlineStr">
        <is>
          <t>Kasuga Taisha</t>
        </is>
      </c>
      <c r="E331" s="93" t="n">
        <v>1.14</v>
      </c>
      <c r="F331" s="16" t="n">
        <v>16</v>
      </c>
      <c r="G331" s="16" t="inlineStr">
        <is>
          <t>A pie</t>
        </is>
      </c>
      <c r="H331" s="16" t="inlineStr">
        <is>
          <t>Mismo cluster</t>
        </is>
      </c>
      <c r="I331" s="16" t="inlineStr">
        <is>
          <t>Estimación geográfica; validar ruta real</t>
        </is>
      </c>
    </row>
    <row r="332" ht="44" customHeight="1">
      <c r="A332" s="16" t="inlineStr">
        <is>
          <t>JP-133</t>
        </is>
      </c>
      <c r="B332" s="16" t="inlineStr">
        <is>
          <t>JP-132</t>
        </is>
      </c>
      <c r="C332" s="16" t="inlineStr">
        <is>
          <t>Naramachi</t>
        </is>
      </c>
      <c r="D332" s="16" t="inlineStr">
        <is>
          <t>Isuien Garden</t>
        </is>
      </c>
      <c r="E332" s="93" t="n">
        <v>1.44</v>
      </c>
      <c r="F332" s="16" t="n">
        <v>20</v>
      </c>
      <c r="G332" s="16" t="inlineStr">
        <is>
          <t>A pie</t>
        </is>
      </c>
      <c r="H332" s="16" t="inlineStr">
        <is>
          <t>Mismo cluster</t>
        </is>
      </c>
      <c r="I332" s="16" t="inlineStr">
        <is>
          <t>Estimación geográfica; validar ruta real</t>
        </is>
      </c>
    </row>
    <row r="333" ht="44" customHeight="1">
      <c r="A333" s="16" t="inlineStr">
        <is>
          <t>JP-133</t>
        </is>
      </c>
      <c r="B333" s="16" t="inlineStr">
        <is>
          <t>JP-130</t>
        </is>
      </c>
      <c r="C333" s="16" t="inlineStr">
        <is>
          <t>Naramachi</t>
        </is>
      </c>
      <c r="D333" s="16" t="inlineStr">
        <is>
          <t>Nara Park deer</t>
        </is>
      </c>
      <c r="E333" s="93" t="n">
        <v>1.7</v>
      </c>
      <c r="F333" s="16" t="n">
        <v>24</v>
      </c>
      <c r="G333" s="16" t="inlineStr">
        <is>
          <t>A pie</t>
        </is>
      </c>
      <c r="H333" s="16" t="inlineStr">
        <is>
          <t>Mismo cluster</t>
        </is>
      </c>
      <c r="I333" s="16" t="inlineStr">
        <is>
          <t>Estimación geográfica; validar ruta real</t>
        </is>
      </c>
    </row>
    <row r="334" ht="44" customHeight="1">
      <c r="A334" s="16" t="inlineStr">
        <is>
          <t>JP-133</t>
        </is>
      </c>
      <c r="B334" s="16" t="inlineStr">
        <is>
          <t>JP-129</t>
        </is>
      </c>
      <c r="C334" s="16" t="inlineStr">
        <is>
          <t>Naramachi</t>
        </is>
      </c>
      <c r="D334" s="16" t="inlineStr">
        <is>
          <t>Tōdai-ji</t>
        </is>
      </c>
      <c r="E334" s="93" t="n">
        <v>1.84</v>
      </c>
      <c r="F334" s="16" t="n">
        <v>15</v>
      </c>
      <c r="G334" s="16" t="inlineStr">
        <is>
          <t>Transporte local</t>
        </is>
      </c>
      <c r="H334" s="16" t="inlineStr">
        <is>
          <t>Mismo cluster</t>
        </is>
      </c>
      <c r="I334" s="16" t="inlineStr">
        <is>
          <t>Estimación geográfica; validar ruta real</t>
        </is>
      </c>
    </row>
    <row r="335" ht="44" customHeight="1">
      <c r="A335" s="16" t="inlineStr">
        <is>
          <t>JP-135</t>
        </is>
      </c>
      <c r="B335" s="16" t="inlineStr">
        <is>
          <t>JP-136</t>
        </is>
      </c>
      <c r="C335" s="16" t="inlineStr">
        <is>
          <t>Himeji Castle</t>
        </is>
      </c>
      <c r="D335" s="16" t="inlineStr">
        <is>
          <t>Kōko-en</t>
        </is>
      </c>
      <c r="E335" s="93" t="n">
        <v>0.38</v>
      </c>
      <c r="F335" s="16" t="n">
        <v>5</v>
      </c>
      <c r="G335" s="16" t="inlineStr">
        <is>
          <t>A pie</t>
        </is>
      </c>
      <c r="H335" s="16" t="inlineStr">
        <is>
          <t>Mismo cluster</t>
        </is>
      </c>
      <c r="I335" s="16" t="inlineStr">
        <is>
          <t>Estimación geográfica; validar ruta real</t>
        </is>
      </c>
    </row>
    <row r="336" ht="44" customHeight="1">
      <c r="A336" s="16" t="inlineStr">
        <is>
          <t>JP-136</t>
        </is>
      </c>
      <c r="B336" s="16" t="inlineStr">
        <is>
          <t>JP-135</t>
        </is>
      </c>
      <c r="C336" s="16" t="inlineStr">
        <is>
          <t>Kōko-en</t>
        </is>
      </c>
      <c r="D336" s="16" t="inlineStr">
        <is>
          <t>Himeji Castle</t>
        </is>
      </c>
      <c r="E336" s="93" t="n">
        <v>0.38</v>
      </c>
      <c r="F336" s="16" t="n">
        <v>5</v>
      </c>
      <c r="G336" s="16" t="inlineStr">
        <is>
          <t>A pie</t>
        </is>
      </c>
      <c r="H336" s="16" t="inlineStr">
        <is>
          <t>Mismo cluster</t>
        </is>
      </c>
      <c r="I336" s="16" t="inlineStr">
        <is>
          <t>Estimación geográfica; validar ruta real</t>
        </is>
      </c>
    </row>
    <row r="337" ht="44" customHeight="1">
      <c r="A337" s="16" t="inlineStr">
        <is>
          <t>JP-138</t>
        </is>
      </c>
      <c r="B337" s="16" t="inlineStr">
        <is>
          <t>JP-139</t>
        </is>
      </c>
      <c r="C337" s="16" t="inlineStr">
        <is>
          <t>Kobe Kitano Ijinkan</t>
        </is>
      </c>
      <c r="D337" s="16" t="inlineStr">
        <is>
          <t>Nunobiki Falls and Herb Gardens</t>
        </is>
      </c>
      <c r="E337" s="93" t="n">
        <v>1.07</v>
      </c>
      <c r="F337" s="16" t="n">
        <v>15</v>
      </c>
      <c r="G337" s="16" t="inlineStr">
        <is>
          <t>A pie</t>
        </is>
      </c>
      <c r="H337" s="16" t="inlineStr">
        <is>
          <t>Mismo cluster</t>
        </is>
      </c>
      <c r="I337" s="16" t="inlineStr">
        <is>
          <t>Estimación geográfica; validar ruta real</t>
        </is>
      </c>
    </row>
    <row r="338" ht="44" customHeight="1">
      <c r="A338" s="16" t="inlineStr">
        <is>
          <t>JP-139</t>
        </is>
      </c>
      <c r="B338" s="16" t="inlineStr">
        <is>
          <t>JP-138</t>
        </is>
      </c>
      <c r="C338" s="16" t="inlineStr">
        <is>
          <t>Nunobiki Falls and Herb Gardens</t>
        </is>
      </c>
      <c r="D338" s="16" t="inlineStr">
        <is>
          <t>Kobe Kitano Ijinkan</t>
        </is>
      </c>
      <c r="E338" s="93" t="n">
        <v>1.07</v>
      </c>
      <c r="F338" s="16" t="n">
        <v>15</v>
      </c>
      <c r="G338" s="16" t="inlineStr">
        <is>
          <t>A pie</t>
        </is>
      </c>
      <c r="H338" s="16" t="inlineStr">
        <is>
          <t>Mismo cluster</t>
        </is>
      </c>
      <c r="I338" s="16" t="inlineStr">
        <is>
          <t>Estimación geográfica; validar ruta real</t>
        </is>
      </c>
    </row>
    <row r="339" ht="44" customHeight="1">
      <c r="A339" s="16" t="inlineStr">
        <is>
          <t>JP-143</t>
        </is>
      </c>
      <c r="B339" s="16" t="inlineStr">
        <is>
          <t>JP-144</t>
        </is>
      </c>
      <c r="C339" s="16" t="inlineStr">
        <is>
          <t>Koyasan temple stay</t>
        </is>
      </c>
      <c r="D339" s="16" t="inlineStr">
        <is>
          <t>Okunoin Cemetery</t>
        </is>
      </c>
      <c r="E339" s="93" t="n">
        <v>2.12</v>
      </c>
      <c r="F339" s="16" t="n">
        <v>17</v>
      </c>
      <c r="G339" s="16" t="inlineStr">
        <is>
          <t>Transporte local</t>
        </is>
      </c>
      <c r="H339" s="16" t="inlineStr">
        <is>
          <t>Mismo cluster</t>
        </is>
      </c>
      <c r="I339" s="16" t="inlineStr">
        <is>
          <t>Estimación geográfica; validar ruta real</t>
        </is>
      </c>
    </row>
    <row r="340" ht="44" customHeight="1">
      <c r="A340" s="16" t="inlineStr">
        <is>
          <t>JP-144</t>
        </is>
      </c>
      <c r="B340" s="16" t="inlineStr">
        <is>
          <t>JP-143</t>
        </is>
      </c>
      <c r="C340" s="16" t="inlineStr">
        <is>
          <t>Okunoin Cemetery</t>
        </is>
      </c>
      <c r="D340" s="16" t="inlineStr">
        <is>
          <t>Koyasan temple stay</t>
        </is>
      </c>
      <c r="E340" s="93" t="n">
        <v>2.12</v>
      </c>
      <c r="F340" s="16" t="n">
        <v>17</v>
      </c>
      <c r="G340" s="16" t="inlineStr">
        <is>
          <t>Transporte local</t>
        </is>
      </c>
      <c r="H340" s="16" t="inlineStr">
        <is>
          <t>Mismo cluster</t>
        </is>
      </c>
      <c r="I340" s="16" t="inlineStr">
        <is>
          <t>Estimación geográfica; validar ruta real</t>
        </is>
      </c>
    </row>
    <row r="341" ht="44" customHeight="1">
      <c r="A341" s="16" t="inlineStr">
        <is>
          <t>JP-153</t>
        </is>
      </c>
      <c r="B341" s="16" t="inlineStr">
        <is>
          <t>JP-154</t>
        </is>
      </c>
      <c r="C341" s="16" t="inlineStr">
        <is>
          <t>Kokusai Street</t>
        </is>
      </c>
      <c r="D341" s="16" t="inlineStr">
        <is>
          <t>First Makishi Public Market</t>
        </is>
      </c>
      <c r="E341" s="93" t="n">
        <v>0.3</v>
      </c>
      <c r="F341" s="16" t="n">
        <v>4</v>
      </c>
      <c r="G341" s="16" t="inlineStr">
        <is>
          <t>A pie</t>
        </is>
      </c>
      <c r="H341" s="16" t="inlineStr">
        <is>
          <t>Mismo cluster</t>
        </is>
      </c>
      <c r="I341" s="16" t="inlineStr">
        <is>
          <t>Estimación geográfica; validar ruta real</t>
        </is>
      </c>
    </row>
    <row r="342" ht="44" customHeight="1">
      <c r="A342" s="16" t="inlineStr">
        <is>
          <t>JP-153</t>
        </is>
      </c>
      <c r="B342" s="16" t="inlineStr">
        <is>
          <t>JP-155</t>
        </is>
      </c>
      <c r="C342" s="16" t="inlineStr">
        <is>
          <t>Kokusai Street</t>
        </is>
      </c>
      <c r="D342" s="16" t="inlineStr">
        <is>
          <t>Tsuboya Yachimun Street</t>
        </is>
      </c>
      <c r="E342" s="93" t="n">
        <v>0.87</v>
      </c>
      <c r="F342" s="16" t="n">
        <v>12</v>
      </c>
      <c r="G342" s="16" t="inlineStr">
        <is>
          <t>A pie</t>
        </is>
      </c>
      <c r="H342" s="16" t="inlineStr">
        <is>
          <t>Mismo cluster</t>
        </is>
      </c>
      <c r="I342" s="16" t="inlineStr">
        <is>
          <t>Estimación geográfica; validar ruta real</t>
        </is>
      </c>
    </row>
    <row r="343" ht="44" customHeight="1">
      <c r="A343" s="16" t="inlineStr">
        <is>
          <t>JP-153</t>
        </is>
      </c>
      <c r="B343" s="16" t="inlineStr">
        <is>
          <t>JP-156</t>
        </is>
      </c>
      <c r="C343" s="16" t="inlineStr">
        <is>
          <t>Kokusai Street</t>
        </is>
      </c>
      <c r="D343" s="16" t="inlineStr">
        <is>
          <t>Sakaemachi Arcade nightlife</t>
        </is>
      </c>
      <c r="E343" s="93" t="n">
        <v>1.11</v>
      </c>
      <c r="F343" s="16" t="n">
        <v>16</v>
      </c>
      <c r="G343" s="16" t="inlineStr">
        <is>
          <t>A pie</t>
        </is>
      </c>
      <c r="H343" s="16" t="inlineStr">
        <is>
          <t>Mismo cluster</t>
        </is>
      </c>
      <c r="I343" s="16" t="inlineStr">
        <is>
          <t>Estimación geográfica; validar ruta real</t>
        </is>
      </c>
    </row>
    <row r="344" ht="44" customHeight="1">
      <c r="A344" s="16" t="inlineStr">
        <is>
          <t>JP-154</t>
        </is>
      </c>
      <c r="B344" s="16" t="inlineStr">
        <is>
          <t>JP-153</t>
        </is>
      </c>
      <c r="C344" s="16" t="inlineStr">
        <is>
          <t>First Makishi Public Market</t>
        </is>
      </c>
      <c r="D344" s="16" t="inlineStr">
        <is>
          <t>Kokusai Street</t>
        </is>
      </c>
      <c r="E344" s="93" t="n">
        <v>0.3</v>
      </c>
      <c r="F344" s="16" t="n">
        <v>4</v>
      </c>
      <c r="G344" s="16" t="inlineStr">
        <is>
          <t>A pie</t>
        </is>
      </c>
      <c r="H344" s="16" t="inlineStr">
        <is>
          <t>Mismo cluster</t>
        </is>
      </c>
      <c r="I344" s="16" t="inlineStr">
        <is>
          <t>Estimación geográfica; validar ruta real</t>
        </is>
      </c>
    </row>
    <row r="345" ht="44" customHeight="1">
      <c r="A345" s="16" t="inlineStr">
        <is>
          <t>JP-154</t>
        </is>
      </c>
      <c r="B345" s="16" t="inlineStr">
        <is>
          <t>JP-155</t>
        </is>
      </c>
      <c r="C345" s="16" t="inlineStr">
        <is>
          <t>First Makishi Public Market</t>
        </is>
      </c>
      <c r="D345" s="16" t="inlineStr">
        <is>
          <t>Tsuboya Yachimun Street</t>
        </is>
      </c>
      <c r="E345" s="93" t="n">
        <v>0.57</v>
      </c>
      <c r="F345" s="16" t="n">
        <v>8</v>
      </c>
      <c r="G345" s="16" t="inlineStr">
        <is>
          <t>A pie</t>
        </is>
      </c>
      <c r="H345" s="16" t="inlineStr">
        <is>
          <t>Mismo cluster</t>
        </is>
      </c>
      <c r="I345" s="16" t="inlineStr">
        <is>
          <t>Estimación geográfica; validar ruta real</t>
        </is>
      </c>
    </row>
    <row r="346" ht="44" customHeight="1">
      <c r="A346" s="16" t="inlineStr">
        <is>
          <t>JP-154</t>
        </is>
      </c>
      <c r="B346" s="16" t="inlineStr">
        <is>
          <t>JP-156</t>
        </is>
      </c>
      <c r="C346" s="16" t="inlineStr">
        <is>
          <t>First Makishi Public Market</t>
        </is>
      </c>
      <c r="D346" s="16" t="inlineStr">
        <is>
          <t>Sakaemachi Arcade nightlife</t>
        </is>
      </c>
      <c r="E346" s="93" t="n">
        <v>0.88</v>
      </c>
      <c r="F346" s="16" t="n">
        <v>12</v>
      </c>
      <c r="G346" s="16" t="inlineStr">
        <is>
          <t>A pie</t>
        </is>
      </c>
      <c r="H346" s="16" t="inlineStr">
        <is>
          <t>Mismo cluster</t>
        </is>
      </c>
      <c r="I346" s="16" t="inlineStr">
        <is>
          <t>Estimación geográfica; validar ruta real</t>
        </is>
      </c>
    </row>
    <row r="347" ht="44" customHeight="1">
      <c r="A347" s="16" t="inlineStr">
        <is>
          <t>JP-155</t>
        </is>
      </c>
      <c r="B347" s="16" t="inlineStr">
        <is>
          <t>JP-154</t>
        </is>
      </c>
      <c r="C347" s="16" t="inlineStr">
        <is>
          <t>Tsuboya Yachimun Street</t>
        </is>
      </c>
      <c r="D347" s="16" t="inlineStr">
        <is>
          <t>First Makishi Public Market</t>
        </is>
      </c>
      <c r="E347" s="93" t="n">
        <v>0.57</v>
      </c>
      <c r="F347" s="16" t="n">
        <v>8</v>
      </c>
      <c r="G347" s="16" t="inlineStr">
        <is>
          <t>A pie</t>
        </is>
      </c>
      <c r="H347" s="16" t="inlineStr">
        <is>
          <t>Mismo cluster</t>
        </is>
      </c>
      <c r="I347" s="16" t="inlineStr">
        <is>
          <t>Estimación geográfica; validar ruta real</t>
        </is>
      </c>
    </row>
    <row r="348" ht="44" customHeight="1">
      <c r="A348" s="16" t="inlineStr">
        <is>
          <t>JP-155</t>
        </is>
      </c>
      <c r="B348" s="16" t="inlineStr">
        <is>
          <t>JP-156</t>
        </is>
      </c>
      <c r="C348" s="16" t="inlineStr">
        <is>
          <t>Tsuboya Yachimun Street</t>
        </is>
      </c>
      <c r="D348" s="16" t="inlineStr">
        <is>
          <t>Sakaemachi Arcade nightlife</t>
        </is>
      </c>
      <c r="E348" s="93" t="n">
        <v>0.78</v>
      </c>
      <c r="F348" s="16" t="n">
        <v>11</v>
      </c>
      <c r="G348" s="16" t="inlineStr">
        <is>
          <t>A pie</t>
        </is>
      </c>
      <c r="H348" s="16" t="inlineStr">
        <is>
          <t>Mismo cluster</t>
        </is>
      </c>
      <c r="I348" s="16" t="inlineStr">
        <is>
          <t>Estimación geográfica; validar ruta real</t>
        </is>
      </c>
    </row>
    <row r="349" ht="44" customHeight="1">
      <c r="A349" s="16" t="inlineStr">
        <is>
          <t>JP-155</t>
        </is>
      </c>
      <c r="B349" s="16" t="inlineStr">
        <is>
          <t>JP-153</t>
        </is>
      </c>
      <c r="C349" s="16" t="inlineStr">
        <is>
          <t>Tsuboya Yachimun Street</t>
        </is>
      </c>
      <c r="D349" s="16" t="inlineStr">
        <is>
          <t>Kokusai Street</t>
        </is>
      </c>
      <c r="E349" s="93" t="n">
        <v>0.87</v>
      </c>
      <c r="F349" s="16" t="n">
        <v>12</v>
      </c>
      <c r="G349" s="16" t="inlineStr">
        <is>
          <t>A pie</t>
        </is>
      </c>
      <c r="H349" s="16" t="inlineStr">
        <is>
          <t>Mismo cluster</t>
        </is>
      </c>
      <c r="I349" s="16" t="inlineStr">
        <is>
          <t>Estimación geográfica; validar ruta real</t>
        </is>
      </c>
    </row>
    <row r="350" ht="44" customHeight="1">
      <c r="A350" s="16" t="inlineStr">
        <is>
          <t>JP-156</t>
        </is>
      </c>
      <c r="B350" s="16" t="inlineStr">
        <is>
          <t>JP-155</t>
        </is>
      </c>
      <c r="C350" s="16" t="inlineStr">
        <is>
          <t>Sakaemachi Arcade nightlife</t>
        </is>
      </c>
      <c r="D350" s="16" t="inlineStr">
        <is>
          <t>Tsuboya Yachimun Street</t>
        </is>
      </c>
      <c r="E350" s="93" t="n">
        <v>0.78</v>
      </c>
      <c r="F350" s="16" t="n">
        <v>11</v>
      </c>
      <c r="G350" s="16" t="inlineStr">
        <is>
          <t>A pie</t>
        </is>
      </c>
      <c r="H350" s="16" t="inlineStr">
        <is>
          <t>Mismo cluster</t>
        </is>
      </c>
      <c r="I350" s="16" t="inlineStr">
        <is>
          <t>Estimación geográfica; validar ruta real</t>
        </is>
      </c>
    </row>
    <row r="351" ht="44" customHeight="1">
      <c r="A351" s="16" t="inlineStr">
        <is>
          <t>JP-156</t>
        </is>
      </c>
      <c r="B351" s="16" t="inlineStr">
        <is>
          <t>JP-154</t>
        </is>
      </c>
      <c r="C351" s="16" t="inlineStr">
        <is>
          <t>Sakaemachi Arcade nightlife</t>
        </is>
      </c>
      <c r="D351" s="16" t="inlineStr">
        <is>
          <t>First Makishi Public Market</t>
        </is>
      </c>
      <c r="E351" s="93" t="n">
        <v>0.88</v>
      </c>
      <c r="F351" s="16" t="n">
        <v>12</v>
      </c>
      <c r="G351" s="16" t="inlineStr">
        <is>
          <t>A pie</t>
        </is>
      </c>
      <c r="H351" s="16" t="inlineStr">
        <is>
          <t>Mismo cluster</t>
        </is>
      </c>
      <c r="I351" s="16" t="inlineStr">
        <is>
          <t>Estimación geográfica; validar ruta real</t>
        </is>
      </c>
    </row>
    <row r="352" ht="44" customHeight="1">
      <c r="A352" s="16" t="inlineStr">
        <is>
          <t>JP-156</t>
        </is>
      </c>
      <c r="B352" s="16" t="inlineStr">
        <is>
          <t>JP-161</t>
        </is>
      </c>
      <c r="C352" s="16" t="inlineStr">
        <is>
          <t>Sakaemachi Arcade nightlife</t>
        </is>
      </c>
      <c r="D352" s="16" t="inlineStr">
        <is>
          <t>Okinawa Prefectural Museum &amp; Art Museum</t>
        </is>
      </c>
      <c r="E352" s="93" t="n">
        <v>1.1</v>
      </c>
      <c r="F352" s="16" t="n">
        <v>15</v>
      </c>
      <c r="G352" s="16" t="inlineStr">
        <is>
          <t>A pie</t>
        </is>
      </c>
      <c r="H352" s="16" t="inlineStr">
        <is>
          <t>Mismo cluster</t>
        </is>
      </c>
      <c r="I352" s="16" t="inlineStr">
        <is>
          <t>Estimación geográfica; validar ruta real</t>
        </is>
      </c>
    </row>
    <row r="353" ht="44" customHeight="1">
      <c r="A353" s="16" t="inlineStr">
        <is>
          <t>JP-157</t>
        </is>
      </c>
      <c r="B353" s="16" t="inlineStr">
        <is>
          <t>JP-159</t>
        </is>
      </c>
      <c r="C353" s="16" t="inlineStr">
        <is>
          <t>Shurijo Castle Park</t>
        </is>
      </c>
      <c r="D353" s="16" t="inlineStr">
        <is>
          <t>Kinjo-cho Stone-Paved Road</t>
        </is>
      </c>
      <c r="E353" s="93" t="n">
        <v>0.38</v>
      </c>
      <c r="F353" s="16" t="n">
        <v>5</v>
      </c>
      <c r="G353" s="16" t="inlineStr">
        <is>
          <t>A pie</t>
        </is>
      </c>
      <c r="H353" s="16" t="inlineStr">
        <is>
          <t>Mismo cluster</t>
        </is>
      </c>
      <c r="I353" s="16" t="inlineStr">
        <is>
          <t>Estimación geográfica; validar ruta real</t>
        </is>
      </c>
    </row>
    <row r="354" ht="44" customHeight="1">
      <c r="A354" s="16" t="inlineStr">
        <is>
          <t>JP-157</t>
        </is>
      </c>
      <c r="B354" s="16" t="inlineStr">
        <is>
          <t>JP-158</t>
        </is>
      </c>
      <c r="C354" s="16" t="inlineStr">
        <is>
          <t>Shurijo Castle Park</t>
        </is>
      </c>
      <c r="D354" s="16" t="inlineStr">
        <is>
          <t>Tamaudun Royal Mausoleum</t>
        </is>
      </c>
      <c r="E354" s="93" t="n">
        <v>0.48</v>
      </c>
      <c r="F354" s="16" t="n">
        <v>7</v>
      </c>
      <c r="G354" s="16" t="inlineStr">
        <is>
          <t>A pie</t>
        </is>
      </c>
      <c r="H354" s="16" t="inlineStr">
        <is>
          <t>Mismo cluster</t>
        </is>
      </c>
      <c r="I354" s="16" t="inlineStr">
        <is>
          <t>Estimación geográfica; validar ruta real</t>
        </is>
      </c>
    </row>
    <row r="355" ht="44" customHeight="1">
      <c r="A355" s="16" t="inlineStr">
        <is>
          <t>JP-157</t>
        </is>
      </c>
      <c r="B355" s="16" t="inlineStr">
        <is>
          <t>JP-160</t>
        </is>
      </c>
      <c r="C355" s="16" t="inlineStr">
        <is>
          <t>Shurijo Castle Park</t>
        </is>
      </c>
      <c r="D355" s="16" t="inlineStr">
        <is>
          <t>Shikina-en Royal Garden</t>
        </is>
      </c>
      <c r="E355" s="93" t="n">
        <v>1.41</v>
      </c>
      <c r="F355" s="16" t="n">
        <v>20</v>
      </c>
      <c r="G355" s="16" t="inlineStr">
        <is>
          <t>A pie</t>
        </is>
      </c>
      <c r="H355" s="16" t="inlineStr">
        <is>
          <t>Cercano</t>
        </is>
      </c>
      <c r="I355" s="16" t="inlineStr">
        <is>
          <t>Estimación geográfica; validar ruta real</t>
        </is>
      </c>
    </row>
    <row r="356" ht="44" customHeight="1">
      <c r="A356" s="16" t="inlineStr">
        <is>
          <t>JP-158</t>
        </is>
      </c>
      <c r="B356" s="16" t="inlineStr">
        <is>
          <t>JP-157</t>
        </is>
      </c>
      <c r="C356" s="16" t="inlineStr">
        <is>
          <t>Tamaudun Royal Mausoleum</t>
        </is>
      </c>
      <c r="D356" s="16" t="inlineStr">
        <is>
          <t>Shurijo Castle Park</t>
        </is>
      </c>
      <c r="E356" s="93" t="n">
        <v>0.48</v>
      </c>
      <c r="F356" s="16" t="n">
        <v>7</v>
      </c>
      <c r="G356" s="16" t="inlineStr">
        <is>
          <t>A pie</t>
        </is>
      </c>
      <c r="H356" s="16" t="inlineStr">
        <is>
          <t>Mismo cluster</t>
        </is>
      </c>
      <c r="I356" s="16" t="inlineStr">
        <is>
          <t>Estimación geográfica; validar ruta real</t>
        </is>
      </c>
    </row>
    <row r="357" ht="44" customHeight="1">
      <c r="A357" s="16" t="inlineStr">
        <is>
          <t>JP-158</t>
        </is>
      </c>
      <c r="B357" s="16" t="inlineStr">
        <is>
          <t>JP-159</t>
        </is>
      </c>
      <c r="C357" s="16" t="inlineStr">
        <is>
          <t>Tamaudun Royal Mausoleum</t>
        </is>
      </c>
      <c r="D357" s="16" t="inlineStr">
        <is>
          <t>Kinjo-cho Stone-Paved Road</t>
        </is>
      </c>
      <c r="E357" s="93" t="n">
        <v>0.72</v>
      </c>
      <c r="F357" s="16" t="n">
        <v>10</v>
      </c>
      <c r="G357" s="16" t="inlineStr">
        <is>
          <t>A pie</t>
        </is>
      </c>
      <c r="H357" s="16" t="inlineStr">
        <is>
          <t>Mismo cluster</t>
        </is>
      </c>
      <c r="I357" s="16" t="inlineStr">
        <is>
          <t>Estimación geográfica; validar ruta real</t>
        </is>
      </c>
    </row>
    <row r="358" ht="44" customHeight="1">
      <c r="A358" s="16" t="inlineStr">
        <is>
          <t>JP-158</t>
        </is>
      </c>
      <c r="B358" s="16" t="inlineStr">
        <is>
          <t>JP-160</t>
        </is>
      </c>
      <c r="C358" s="16" t="inlineStr">
        <is>
          <t>Tamaudun Royal Mausoleum</t>
        </is>
      </c>
      <c r="D358" s="16" t="inlineStr">
        <is>
          <t>Shikina-en Royal Garden</t>
        </is>
      </c>
      <c r="E358" s="93" t="n">
        <v>1.59</v>
      </c>
      <c r="F358" s="16" t="n">
        <v>22</v>
      </c>
      <c r="G358" s="16" t="inlineStr">
        <is>
          <t>A pie</t>
        </is>
      </c>
      <c r="H358" s="16" t="inlineStr">
        <is>
          <t>Cercano</t>
        </is>
      </c>
      <c r="I358" s="16" t="inlineStr">
        <is>
          <t>Estimación geográfica; validar ruta real</t>
        </is>
      </c>
    </row>
    <row r="359" ht="44" customHeight="1">
      <c r="A359" s="16" t="inlineStr">
        <is>
          <t>JP-159</t>
        </is>
      </c>
      <c r="B359" s="16" t="inlineStr">
        <is>
          <t>JP-157</t>
        </is>
      </c>
      <c r="C359" s="16" t="inlineStr">
        <is>
          <t>Kinjo-cho Stone-Paved Road</t>
        </is>
      </c>
      <c r="D359" s="16" t="inlineStr">
        <is>
          <t>Shurijo Castle Park</t>
        </is>
      </c>
      <c r="E359" s="93" t="n">
        <v>0.38</v>
      </c>
      <c r="F359" s="16" t="n">
        <v>5</v>
      </c>
      <c r="G359" s="16" t="inlineStr">
        <is>
          <t>A pie</t>
        </is>
      </c>
      <c r="H359" s="16" t="inlineStr">
        <is>
          <t>Mismo cluster</t>
        </is>
      </c>
      <c r="I359" s="16" t="inlineStr">
        <is>
          <t>Estimación geográfica; validar ruta real</t>
        </is>
      </c>
    </row>
    <row r="360" ht="44" customHeight="1">
      <c r="A360" s="16" t="inlineStr">
        <is>
          <t>JP-159</t>
        </is>
      </c>
      <c r="B360" s="16" t="inlineStr">
        <is>
          <t>JP-158</t>
        </is>
      </c>
      <c r="C360" s="16" t="inlineStr">
        <is>
          <t>Kinjo-cho Stone-Paved Road</t>
        </is>
      </c>
      <c r="D360" s="16" t="inlineStr">
        <is>
          <t>Tamaudun Royal Mausoleum</t>
        </is>
      </c>
      <c r="E360" s="93" t="n">
        <v>0.72</v>
      </c>
      <c r="F360" s="16" t="n">
        <v>10</v>
      </c>
      <c r="G360" s="16" t="inlineStr">
        <is>
          <t>A pie</t>
        </is>
      </c>
      <c r="H360" s="16" t="inlineStr">
        <is>
          <t>Mismo cluster</t>
        </is>
      </c>
      <c r="I360" s="16" t="inlineStr">
        <is>
          <t>Estimación geográfica; validar ruta real</t>
        </is>
      </c>
    </row>
    <row r="361" ht="44" customHeight="1">
      <c r="A361" s="16" t="inlineStr">
        <is>
          <t>JP-159</t>
        </is>
      </c>
      <c r="B361" s="16" t="inlineStr">
        <is>
          <t>JP-160</t>
        </is>
      </c>
      <c r="C361" s="16" t="inlineStr">
        <is>
          <t>Kinjo-cho Stone-Paved Road</t>
        </is>
      </c>
      <c r="D361" s="16" t="inlineStr">
        <is>
          <t>Shikina-en Royal Garden</t>
        </is>
      </c>
      <c r="E361" s="93" t="n">
        <v>1.04</v>
      </c>
      <c r="F361" s="16" t="n">
        <v>15</v>
      </c>
      <c r="G361" s="16" t="inlineStr">
        <is>
          <t>A pie</t>
        </is>
      </c>
      <c r="H361" s="16" t="inlineStr">
        <is>
          <t>Cercano</t>
        </is>
      </c>
      <c r="I361" s="16" t="inlineStr">
        <is>
          <t>Estimación geográfica; validar ruta real</t>
        </is>
      </c>
    </row>
    <row r="362" ht="44" customHeight="1">
      <c r="A362" s="16" t="inlineStr">
        <is>
          <t>JP-160</t>
        </is>
      </c>
      <c r="B362" s="16" t="inlineStr">
        <is>
          <t>JP-159</t>
        </is>
      </c>
      <c r="C362" s="16" t="inlineStr">
        <is>
          <t>Shikina-en Royal Garden</t>
        </is>
      </c>
      <c r="D362" s="16" t="inlineStr">
        <is>
          <t>Kinjo-cho Stone-Paved Road</t>
        </is>
      </c>
      <c r="E362" s="93" t="n">
        <v>1.04</v>
      </c>
      <c r="F362" s="16" t="n">
        <v>15</v>
      </c>
      <c r="G362" s="16" t="inlineStr">
        <is>
          <t>A pie</t>
        </is>
      </c>
      <c r="H362" s="16" t="inlineStr">
        <is>
          <t>Cercano</t>
        </is>
      </c>
      <c r="I362" s="16" t="inlineStr">
        <is>
          <t>Estimación geográfica; validar ruta real</t>
        </is>
      </c>
    </row>
    <row r="363" ht="44" customHeight="1">
      <c r="A363" s="16" t="inlineStr">
        <is>
          <t>JP-160</t>
        </is>
      </c>
      <c r="B363" s="16" t="inlineStr">
        <is>
          <t>JP-157</t>
        </is>
      </c>
      <c r="C363" s="16" t="inlineStr">
        <is>
          <t>Shikina-en Royal Garden</t>
        </is>
      </c>
      <c r="D363" s="16" t="inlineStr">
        <is>
          <t>Shurijo Castle Park</t>
        </is>
      </c>
      <c r="E363" s="93" t="n">
        <v>1.41</v>
      </c>
      <c r="F363" s="16" t="n">
        <v>20</v>
      </c>
      <c r="G363" s="16" t="inlineStr">
        <is>
          <t>A pie</t>
        </is>
      </c>
      <c r="H363" s="16" t="inlineStr">
        <is>
          <t>Cercano</t>
        </is>
      </c>
      <c r="I363" s="16" t="inlineStr">
        <is>
          <t>Estimación geográfica; validar ruta real</t>
        </is>
      </c>
    </row>
    <row r="364" ht="44" customHeight="1">
      <c r="A364" s="16" t="inlineStr">
        <is>
          <t>JP-160</t>
        </is>
      </c>
      <c r="B364" s="16" t="inlineStr">
        <is>
          <t>JP-158</t>
        </is>
      </c>
      <c r="C364" s="16" t="inlineStr">
        <is>
          <t>Shikina-en Royal Garden</t>
        </is>
      </c>
      <c r="D364" s="16" t="inlineStr">
        <is>
          <t>Tamaudun Royal Mausoleum</t>
        </is>
      </c>
      <c r="E364" s="93" t="n">
        <v>1.59</v>
      </c>
      <c r="F364" s="16" t="n">
        <v>22</v>
      </c>
      <c r="G364" s="16" t="inlineStr">
        <is>
          <t>A pie</t>
        </is>
      </c>
      <c r="H364" s="16" t="inlineStr">
        <is>
          <t>Cercano</t>
        </is>
      </c>
      <c r="I364" s="16" t="inlineStr">
        <is>
          <t>Estimación geográfica; validar ruta real</t>
        </is>
      </c>
    </row>
    <row r="365" ht="44" customHeight="1">
      <c r="A365" s="16" t="inlineStr">
        <is>
          <t>JP-161</t>
        </is>
      </c>
      <c r="B365" s="16" t="inlineStr">
        <is>
          <t>JP-156</t>
        </is>
      </c>
      <c r="C365" s="16" t="inlineStr">
        <is>
          <t>Okinawa Prefectural Museum &amp; Art Museum</t>
        </is>
      </c>
      <c r="D365" s="16" t="inlineStr">
        <is>
          <t>Sakaemachi Arcade nightlife</t>
        </is>
      </c>
      <c r="E365" s="93" t="n">
        <v>1.1</v>
      </c>
      <c r="F365" s="16" t="n">
        <v>15</v>
      </c>
      <c r="G365" s="16" t="inlineStr">
        <is>
          <t>A pie</t>
        </is>
      </c>
      <c r="H365" s="16" t="inlineStr">
        <is>
          <t>Mismo cluster</t>
        </is>
      </c>
      <c r="I365" s="16" t="inlineStr">
        <is>
          <t>Estimación geográfica; validar ruta real</t>
        </is>
      </c>
    </row>
    <row r="366" ht="44" customHeight="1">
      <c r="A366" s="16" t="inlineStr">
        <is>
          <t>JP-161</t>
        </is>
      </c>
      <c r="B366" s="16" t="inlineStr">
        <is>
          <t>JP-202</t>
        </is>
      </c>
      <c r="C366" s="16" t="inlineStr">
        <is>
          <t>Okinawa Prefectural Museum &amp; Art Museum</t>
        </is>
      </c>
      <c r="D366" s="16" t="inlineStr">
        <is>
          <t>Whale watching in the Kerama waters</t>
        </is>
      </c>
      <c r="E366" s="93" t="n">
        <v>1.48</v>
      </c>
      <c r="F366" s="16" t="n">
        <v>21</v>
      </c>
      <c r="G366" s="16" t="inlineStr">
        <is>
          <t>A pie</t>
        </is>
      </c>
      <c r="H366" s="16" t="inlineStr">
        <is>
          <t>Cercano</t>
        </is>
      </c>
      <c r="I366" s="16" t="inlineStr">
        <is>
          <t>Estimación geográfica; validar ruta real</t>
        </is>
      </c>
    </row>
    <row r="367" ht="44" customHeight="1">
      <c r="A367" s="16" t="inlineStr">
        <is>
          <t>JP-161</t>
        </is>
      </c>
      <c r="B367" s="16" t="inlineStr">
        <is>
          <t>JP-154</t>
        </is>
      </c>
      <c r="C367" s="16" t="inlineStr">
        <is>
          <t>Okinawa Prefectural Museum &amp; Art Museum</t>
        </is>
      </c>
      <c r="D367" s="16" t="inlineStr">
        <is>
          <t>First Makishi Public Market</t>
        </is>
      </c>
      <c r="E367" s="93" t="n">
        <v>1.53</v>
      </c>
      <c r="F367" s="16" t="n">
        <v>21</v>
      </c>
      <c r="G367" s="16" t="inlineStr">
        <is>
          <t>A pie</t>
        </is>
      </c>
      <c r="H367" s="16" t="inlineStr">
        <is>
          <t>Mismo cluster</t>
        </is>
      </c>
      <c r="I367" s="16" t="inlineStr">
        <is>
          <t>Estimación geográfica; validar ruta real</t>
        </is>
      </c>
    </row>
    <row r="368" ht="44" customHeight="1">
      <c r="A368" s="16" t="inlineStr">
        <is>
          <t>JP-162</t>
        </is>
      </c>
      <c r="B368" s="16" t="inlineStr">
        <is>
          <t>JP-164</t>
        </is>
      </c>
      <c r="C368" s="16" t="inlineStr">
        <is>
          <t>Sefa Utaki</t>
        </is>
      </c>
      <c r="D368" s="16" t="inlineStr">
        <is>
          <t>Cape Chinen Park</t>
        </is>
      </c>
      <c r="E368" s="93" t="n">
        <v>0.66</v>
      </c>
      <c r="F368" s="16" t="n">
        <v>9</v>
      </c>
      <c r="G368" s="16" t="inlineStr">
        <is>
          <t>A pie</t>
        </is>
      </c>
      <c r="H368" s="16" t="inlineStr">
        <is>
          <t>Mismo cluster</t>
        </is>
      </c>
      <c r="I368" s="16" t="inlineStr">
        <is>
          <t>Estimación geográfica; validar ruta real</t>
        </is>
      </c>
    </row>
    <row r="369" ht="44" customHeight="1">
      <c r="A369" s="16" t="inlineStr">
        <is>
          <t>JP-164</t>
        </is>
      </c>
      <c r="B369" s="16" t="inlineStr">
        <is>
          <t>JP-162</t>
        </is>
      </c>
      <c r="C369" s="16" t="inlineStr">
        <is>
          <t>Cape Chinen Park</t>
        </is>
      </c>
      <c r="D369" s="16" t="inlineStr">
        <is>
          <t>Sefa Utaki</t>
        </is>
      </c>
      <c r="E369" s="93" t="n">
        <v>0.66</v>
      </c>
      <c r="F369" s="16" t="n">
        <v>9</v>
      </c>
      <c r="G369" s="16" t="inlineStr">
        <is>
          <t>A pie</t>
        </is>
      </c>
      <c r="H369" s="16" t="inlineStr">
        <is>
          <t>Mismo cluster</t>
        </is>
      </c>
      <c r="I369" s="16" t="inlineStr">
        <is>
          <t>Estimación geográfica; validar ruta real</t>
        </is>
      </c>
    </row>
    <row r="370" ht="44" customHeight="1">
      <c r="A370" s="16" t="inlineStr">
        <is>
          <t>JP-166</t>
        </is>
      </c>
      <c r="B370" s="16" t="inlineStr">
        <is>
          <t>JP-167</t>
        </is>
      </c>
      <c r="C370" s="16" t="inlineStr">
        <is>
          <t>Mihama American Village</t>
        </is>
      </c>
      <c r="D370" s="16" t="inlineStr">
        <is>
          <t>Koza music district</t>
        </is>
      </c>
      <c r="E370" s="93" t="n">
        <v>5.22</v>
      </c>
      <c r="F370" s="16" t="n">
        <v>42</v>
      </c>
      <c r="G370" s="16" t="inlineStr">
        <is>
          <t>Transporte local</t>
        </is>
      </c>
      <c r="H370" s="16" t="inlineStr">
        <is>
          <t>Mismo cluster</t>
        </is>
      </c>
      <c r="I370" s="16" t="inlineStr">
        <is>
          <t>Estimación geográfica; validar ruta real</t>
        </is>
      </c>
    </row>
    <row r="371" ht="44" customHeight="1">
      <c r="A371" s="16" t="inlineStr">
        <is>
          <t>JP-167</t>
        </is>
      </c>
      <c r="B371" s="16" t="inlineStr">
        <is>
          <t>JP-166</t>
        </is>
      </c>
      <c r="C371" s="16" t="inlineStr">
        <is>
          <t>Koza music district</t>
        </is>
      </c>
      <c r="D371" s="16" t="inlineStr">
        <is>
          <t>Mihama American Village</t>
        </is>
      </c>
      <c r="E371" s="93" t="n">
        <v>5.22</v>
      </c>
      <c r="F371" s="16" t="n">
        <v>42</v>
      </c>
      <c r="G371" s="16" t="inlineStr">
        <is>
          <t>Transporte local</t>
        </is>
      </c>
      <c r="H371" s="16" t="inlineStr">
        <is>
          <t>Mismo cluster</t>
        </is>
      </c>
      <c r="I371" s="16" t="inlineStr">
        <is>
          <t>Estimación geográfica; validar ruta real</t>
        </is>
      </c>
    </row>
    <row r="372" ht="44" customHeight="1">
      <c r="A372" s="16" t="inlineStr">
        <is>
          <t>JP-168</t>
        </is>
      </c>
      <c r="B372" s="16" t="inlineStr">
        <is>
          <t>JP-169</t>
        </is>
      </c>
      <c r="C372" s="16" t="inlineStr">
        <is>
          <t>Yachimun no Sato</t>
        </is>
      </c>
      <c r="D372" s="16" t="inlineStr">
        <is>
          <t>Zakimi Castle Ruins</t>
        </is>
      </c>
      <c r="E372" s="93" t="n">
        <v>1.24</v>
      </c>
      <c r="F372" s="16" t="n">
        <v>17</v>
      </c>
      <c r="G372" s="16" t="inlineStr">
        <is>
          <t>A pie</t>
        </is>
      </c>
      <c r="H372" s="16" t="inlineStr">
        <is>
          <t>Mismo cluster</t>
        </is>
      </c>
      <c r="I372" s="16" t="inlineStr">
        <is>
          <t>Estimación geográfica; validar ruta real</t>
        </is>
      </c>
    </row>
    <row r="373" ht="44" customHeight="1">
      <c r="A373" s="16" t="inlineStr">
        <is>
          <t>JP-169</t>
        </is>
      </c>
      <c r="B373" s="16" t="inlineStr">
        <is>
          <t>JP-168</t>
        </is>
      </c>
      <c r="C373" s="16" t="inlineStr">
        <is>
          <t>Zakimi Castle Ruins</t>
        </is>
      </c>
      <c r="D373" s="16" t="inlineStr">
        <is>
          <t>Yachimun no Sato</t>
        </is>
      </c>
      <c r="E373" s="93" t="n">
        <v>1.24</v>
      </c>
      <c r="F373" s="16" t="n">
        <v>17</v>
      </c>
      <c r="G373" s="16" t="inlineStr">
        <is>
          <t>A pie</t>
        </is>
      </c>
      <c r="H373" s="16" t="inlineStr">
        <is>
          <t>Mismo cluster</t>
        </is>
      </c>
      <c r="I373" s="16" t="inlineStr">
        <is>
          <t>Estimación geográfica; validar ruta real</t>
        </is>
      </c>
    </row>
    <row r="374" ht="44" customHeight="1">
      <c r="A374" s="16" t="inlineStr">
        <is>
          <t>JP-173</t>
        </is>
      </c>
      <c r="B374" s="16" t="inlineStr">
        <is>
          <t>JP-174</t>
        </is>
      </c>
      <c r="C374" s="16" t="inlineStr">
        <is>
          <t>Okinawa Churaumi Aquarium</t>
        </is>
      </c>
      <c r="D374" s="16" t="inlineStr">
        <is>
          <t>Bise Fukugi Tree Road</t>
        </is>
      </c>
      <c r="E374" s="93" t="n">
        <v>1.42</v>
      </c>
      <c r="F374" s="16" t="n">
        <v>20</v>
      </c>
      <c r="G374" s="16" t="inlineStr">
        <is>
          <t>A pie</t>
        </is>
      </c>
      <c r="H374" s="16" t="inlineStr">
        <is>
          <t>Mismo cluster</t>
        </is>
      </c>
      <c r="I374" s="16" t="inlineStr">
        <is>
          <t>Estimación geográfica; validar ruta real</t>
        </is>
      </c>
    </row>
    <row r="375" ht="44" customHeight="1">
      <c r="A375" s="16" t="inlineStr">
        <is>
          <t>JP-173</t>
        </is>
      </c>
      <c r="B375" s="16" t="inlineStr">
        <is>
          <t>JP-175</t>
        </is>
      </c>
      <c r="C375" s="16" t="inlineStr">
        <is>
          <t>Okinawa Churaumi Aquarium</t>
        </is>
      </c>
      <c r="D375" s="16" t="inlineStr">
        <is>
          <t>Nakijin Castle Ruins</t>
        </is>
      </c>
      <c r="E375" s="93" t="n">
        <v>5.12</v>
      </c>
      <c r="F375" s="16" t="n">
        <v>41</v>
      </c>
      <c r="G375" s="16" t="inlineStr">
        <is>
          <t>Transporte local</t>
        </is>
      </c>
      <c r="H375" s="16" t="inlineStr">
        <is>
          <t>Mismo cluster</t>
        </is>
      </c>
      <c r="I375" s="16" t="inlineStr">
        <is>
          <t>Estimación geográfica; validar ruta real</t>
        </is>
      </c>
    </row>
    <row r="376" ht="44" customHeight="1">
      <c r="A376" s="16" t="inlineStr">
        <is>
          <t>JP-174</t>
        </is>
      </c>
      <c r="B376" s="16" t="inlineStr">
        <is>
          <t>JP-173</t>
        </is>
      </c>
      <c r="C376" s="16" t="inlineStr">
        <is>
          <t>Bise Fukugi Tree Road</t>
        </is>
      </c>
      <c r="D376" s="16" t="inlineStr">
        <is>
          <t>Okinawa Churaumi Aquarium</t>
        </is>
      </c>
      <c r="E376" s="93" t="n">
        <v>1.42</v>
      </c>
      <c r="F376" s="16" t="n">
        <v>20</v>
      </c>
      <c r="G376" s="16" t="inlineStr">
        <is>
          <t>A pie</t>
        </is>
      </c>
      <c r="H376" s="16" t="inlineStr">
        <is>
          <t>Mismo cluster</t>
        </is>
      </c>
      <c r="I376" s="16" t="inlineStr">
        <is>
          <t>Estimación geográfica; validar ruta real</t>
        </is>
      </c>
    </row>
    <row r="377" ht="44" customHeight="1">
      <c r="A377" s="16" t="inlineStr">
        <is>
          <t>JP-174</t>
        </is>
      </c>
      <c r="B377" s="16" t="inlineStr">
        <is>
          <t>JP-175</t>
        </is>
      </c>
      <c r="C377" s="16" t="inlineStr">
        <is>
          <t>Bise Fukugi Tree Road</t>
        </is>
      </c>
      <c r="D377" s="16" t="inlineStr">
        <is>
          <t>Nakijin Castle Ruins</t>
        </is>
      </c>
      <c r="E377" s="93" t="n">
        <v>5.12</v>
      </c>
      <c r="F377" s="16" t="n">
        <v>41</v>
      </c>
      <c r="G377" s="16" t="inlineStr">
        <is>
          <t>Transporte local</t>
        </is>
      </c>
      <c r="H377" s="16" t="inlineStr">
        <is>
          <t>Mismo cluster</t>
        </is>
      </c>
      <c r="I377" s="16" t="inlineStr">
        <is>
          <t>Estimación geográfica; validar ruta real</t>
        </is>
      </c>
    </row>
    <row r="378" ht="44" customHeight="1">
      <c r="A378" s="16" t="inlineStr">
        <is>
          <t>JP-175</t>
        </is>
      </c>
      <c r="B378" s="16" t="inlineStr">
        <is>
          <t>JP-174</t>
        </is>
      </c>
      <c r="C378" s="16" t="inlineStr">
        <is>
          <t>Nakijin Castle Ruins</t>
        </is>
      </c>
      <c r="D378" s="16" t="inlineStr">
        <is>
          <t>Bise Fukugi Tree Road</t>
        </is>
      </c>
      <c r="E378" s="93" t="n">
        <v>5.12</v>
      </c>
      <c r="F378" s="16" t="n">
        <v>41</v>
      </c>
      <c r="G378" s="16" t="inlineStr">
        <is>
          <t>Transporte local</t>
        </is>
      </c>
      <c r="H378" s="16" t="inlineStr">
        <is>
          <t>Mismo cluster</t>
        </is>
      </c>
      <c r="I378" s="16" t="inlineStr">
        <is>
          <t>Estimación geográfica; validar ruta real</t>
        </is>
      </c>
    </row>
    <row r="379" ht="44" customHeight="1">
      <c r="A379" s="16" t="inlineStr">
        <is>
          <t>JP-175</t>
        </is>
      </c>
      <c r="B379" s="16" t="inlineStr">
        <is>
          <t>JP-173</t>
        </is>
      </c>
      <c r="C379" s="16" t="inlineStr">
        <is>
          <t>Nakijin Castle Ruins</t>
        </is>
      </c>
      <c r="D379" s="16" t="inlineStr">
        <is>
          <t>Okinawa Churaumi Aquarium</t>
        </is>
      </c>
      <c r="E379" s="93" t="n">
        <v>5.12</v>
      </c>
      <c r="F379" s="16" t="n">
        <v>41</v>
      </c>
      <c r="G379" s="16" t="inlineStr">
        <is>
          <t>Transporte local</t>
        </is>
      </c>
      <c r="H379" s="16" t="inlineStr">
        <is>
          <t>Mismo cluster</t>
        </is>
      </c>
      <c r="I379" s="16" t="inlineStr">
        <is>
          <t>Estimación geográfica; validar ruta real</t>
        </is>
      </c>
    </row>
    <row r="380" ht="44" customHeight="1">
      <c r="A380" s="16" t="inlineStr">
        <is>
          <t>JP-176</t>
        </is>
      </c>
      <c r="B380" s="16" t="inlineStr">
        <is>
          <t>JP-177</t>
        </is>
      </c>
      <c r="C380" s="16" t="inlineStr">
        <is>
          <t>Kouri Island and bridge</t>
        </is>
      </c>
      <c r="D380" s="16" t="inlineStr">
        <is>
          <t>Heart Rock</t>
        </is>
      </c>
      <c r="E380" s="93" t="n">
        <v>2.57</v>
      </c>
      <c r="F380" s="16" t="n">
        <v>21</v>
      </c>
      <c r="G380" s="16" t="inlineStr">
        <is>
          <t>Transporte local</t>
        </is>
      </c>
      <c r="H380" s="16" t="inlineStr">
        <is>
          <t>Mismo cluster</t>
        </is>
      </c>
      <c r="I380" s="16" t="inlineStr">
        <is>
          <t>Estimación geográfica; validar ruta real</t>
        </is>
      </c>
    </row>
    <row r="381" ht="44" customHeight="1">
      <c r="A381" s="16" t="inlineStr">
        <is>
          <t>JP-177</t>
        </is>
      </c>
      <c r="B381" s="16" t="inlineStr">
        <is>
          <t>JP-176</t>
        </is>
      </c>
      <c r="C381" s="16" t="inlineStr">
        <is>
          <t>Heart Rock</t>
        </is>
      </c>
      <c r="D381" s="16" t="inlineStr">
        <is>
          <t>Kouri Island and bridge</t>
        </is>
      </c>
      <c r="E381" s="93" t="n">
        <v>2.57</v>
      </c>
      <c r="F381" s="16" t="n">
        <v>21</v>
      </c>
      <c r="G381" s="16" t="inlineStr">
        <is>
          <t>Transporte local</t>
        </is>
      </c>
      <c r="H381" s="16" t="inlineStr">
        <is>
          <t>Mismo cluster</t>
        </is>
      </c>
      <c r="I381" s="16" t="inlineStr">
        <is>
          <t>Estimación geográfica; validar ruta real</t>
        </is>
      </c>
    </row>
    <row r="382" ht="44" customHeight="1">
      <c r="A382" s="16" t="inlineStr">
        <is>
          <t>JP-179</t>
        </is>
      </c>
      <c r="B382" s="16" t="inlineStr">
        <is>
          <t>JP-180</t>
        </is>
      </c>
      <c r="C382" s="16" t="inlineStr">
        <is>
          <t>Yambaru National Park</t>
        </is>
      </c>
      <c r="D382" s="16" t="inlineStr">
        <is>
          <t>Hiji Falls</t>
        </is>
      </c>
      <c r="E382" s="93" t="n">
        <v>5.91</v>
      </c>
      <c r="F382" s="16" t="n">
        <v>47</v>
      </c>
      <c r="G382" s="16" t="inlineStr">
        <is>
          <t>Transporte local</t>
        </is>
      </c>
      <c r="H382" s="16" t="inlineStr">
        <is>
          <t>Mismo cluster</t>
        </is>
      </c>
      <c r="I382" s="16" t="inlineStr">
        <is>
          <t>Estimación geográfica; validar ruta real</t>
        </is>
      </c>
    </row>
    <row r="383" ht="44" customHeight="1">
      <c r="A383" s="16" t="inlineStr">
        <is>
          <t>JP-180</t>
        </is>
      </c>
      <c r="B383" s="16" t="inlineStr">
        <is>
          <t>JP-179</t>
        </is>
      </c>
      <c r="C383" s="16" t="inlineStr">
        <is>
          <t>Hiji Falls</t>
        </is>
      </c>
      <c r="D383" s="16" t="inlineStr">
        <is>
          <t>Yambaru National Park</t>
        </is>
      </c>
      <c r="E383" s="93" t="n">
        <v>5.91</v>
      </c>
      <c r="F383" s="16" t="n">
        <v>47</v>
      </c>
      <c r="G383" s="16" t="inlineStr">
        <is>
          <t>Transporte local</t>
        </is>
      </c>
      <c r="H383" s="16" t="inlineStr">
        <is>
          <t>Mismo cluster</t>
        </is>
      </c>
      <c r="I383" s="16" t="inlineStr">
        <is>
          <t>Estimación geográfica; validar ruta real</t>
        </is>
      </c>
    </row>
    <row r="384" ht="44" customHeight="1">
      <c r="A384" s="16" t="inlineStr">
        <is>
          <t>JP-181</t>
        </is>
      </c>
      <c r="B384" s="16" t="inlineStr">
        <is>
          <t>JP-182</t>
        </is>
      </c>
      <c r="C384" s="16" t="inlineStr">
        <is>
          <t>ASMUI Spiritual Hikes</t>
        </is>
      </c>
      <c r="D384" s="16" t="inlineStr">
        <is>
          <t>Cape Hedo</t>
        </is>
      </c>
      <c r="E384" s="93" t="n">
        <v>0.14</v>
      </c>
      <c r="F384" s="16" t="n">
        <v>3</v>
      </c>
      <c r="G384" s="16" t="inlineStr">
        <is>
          <t>A pie</t>
        </is>
      </c>
      <c r="H384" s="16" t="inlineStr">
        <is>
          <t>Mismo cluster</t>
        </is>
      </c>
      <c r="I384" s="16" t="inlineStr">
        <is>
          <t>Estimación geográfica; validar ruta real</t>
        </is>
      </c>
    </row>
    <row r="385" ht="44" customHeight="1">
      <c r="A385" s="16" t="inlineStr">
        <is>
          <t>JP-182</t>
        </is>
      </c>
      <c r="B385" s="16" t="inlineStr">
        <is>
          <t>JP-181</t>
        </is>
      </c>
      <c r="C385" s="16" t="inlineStr">
        <is>
          <t>Cape Hedo</t>
        </is>
      </c>
      <c r="D385" s="16" t="inlineStr">
        <is>
          <t>ASMUI Spiritual Hikes</t>
        </is>
      </c>
      <c r="E385" s="93" t="n">
        <v>0.14</v>
      </c>
      <c r="F385" s="16" t="n">
        <v>3</v>
      </c>
      <c r="G385" s="16" t="inlineStr">
        <is>
          <t>A pie</t>
        </is>
      </c>
      <c r="H385" s="16" t="inlineStr">
        <is>
          <t>Mismo cluster</t>
        </is>
      </c>
      <c r="I385" s="16" t="inlineStr">
        <is>
          <t>Estimación geográfica; validar ruta real</t>
        </is>
      </c>
    </row>
    <row r="386" ht="44" customHeight="1">
      <c r="A386" s="16" t="inlineStr">
        <is>
          <t>JP-184</t>
        </is>
      </c>
      <c r="B386" s="16" t="inlineStr">
        <is>
          <t>JP-185</t>
        </is>
      </c>
      <c r="C386" s="16" t="inlineStr">
        <is>
          <t>Zamami Island</t>
        </is>
      </c>
      <c r="D386" s="16" t="inlineStr">
        <is>
          <t>Furuzamami Beach</t>
        </is>
      </c>
      <c r="E386" s="93" t="n">
        <v>1.03</v>
      </c>
      <c r="F386" s="16" t="n">
        <v>14</v>
      </c>
      <c r="G386" s="16" t="inlineStr">
        <is>
          <t>A pie</t>
        </is>
      </c>
      <c r="H386" s="16" t="inlineStr">
        <is>
          <t>Mismo cluster</t>
        </is>
      </c>
      <c r="I386" s="16" t="inlineStr">
        <is>
          <t>Estimación geográfica; validar ruta real</t>
        </is>
      </c>
    </row>
    <row r="387" ht="44" customHeight="1">
      <c r="A387" s="16" t="inlineStr">
        <is>
          <t>JP-184</t>
        </is>
      </c>
      <c r="B387" s="16" t="inlineStr">
        <is>
          <t>JP-186</t>
        </is>
      </c>
      <c r="C387" s="16" t="inlineStr">
        <is>
          <t>Zamami Island</t>
        </is>
      </c>
      <c r="D387" s="16" t="inlineStr">
        <is>
          <t>Aka Island</t>
        </is>
      </c>
      <c r="E387" s="93" t="n">
        <v>3.83</v>
      </c>
      <c r="F387" s="16" t="n">
        <v>31</v>
      </c>
      <c r="G387" s="16" t="inlineStr">
        <is>
          <t>Transporte local</t>
        </is>
      </c>
      <c r="H387" s="16" t="inlineStr">
        <is>
          <t>Mismo cluster</t>
        </is>
      </c>
      <c r="I387" s="16" t="inlineStr">
        <is>
          <t>Estimación geográfica; validar ruta real</t>
        </is>
      </c>
    </row>
    <row r="388" ht="44" customHeight="1">
      <c r="A388" s="16" t="inlineStr">
        <is>
          <t>JP-185</t>
        </is>
      </c>
      <c r="B388" s="16" t="inlineStr">
        <is>
          <t>JP-184</t>
        </is>
      </c>
      <c r="C388" s="16" t="inlineStr">
        <is>
          <t>Furuzamami Beach</t>
        </is>
      </c>
      <c r="D388" s="16" t="inlineStr">
        <is>
          <t>Zamami Island</t>
        </is>
      </c>
      <c r="E388" s="93" t="n">
        <v>1.03</v>
      </c>
      <c r="F388" s="16" t="n">
        <v>14</v>
      </c>
      <c r="G388" s="16" t="inlineStr">
        <is>
          <t>A pie</t>
        </is>
      </c>
      <c r="H388" s="16" t="inlineStr">
        <is>
          <t>Mismo cluster</t>
        </is>
      </c>
      <c r="I388" s="16" t="inlineStr">
        <is>
          <t>Estimación geográfica; validar ruta real</t>
        </is>
      </c>
    </row>
    <row r="389" ht="44" customHeight="1">
      <c r="A389" s="16" t="inlineStr">
        <is>
          <t>JP-185</t>
        </is>
      </c>
      <c r="B389" s="16" t="inlineStr">
        <is>
          <t>JP-186</t>
        </is>
      </c>
      <c r="C389" s="16" t="inlineStr">
        <is>
          <t>Furuzamami Beach</t>
        </is>
      </c>
      <c r="D389" s="16" t="inlineStr">
        <is>
          <t>Aka Island</t>
        </is>
      </c>
      <c r="E389" s="93" t="n">
        <v>2.88</v>
      </c>
      <c r="F389" s="16" t="n">
        <v>23</v>
      </c>
      <c r="G389" s="16" t="inlineStr">
        <is>
          <t>Transporte local</t>
        </is>
      </c>
      <c r="H389" s="16" t="inlineStr">
        <is>
          <t>Mismo cluster</t>
        </is>
      </c>
      <c r="I389" s="16" t="inlineStr">
        <is>
          <t>Estimación geográfica; validar ruta real</t>
        </is>
      </c>
    </row>
    <row r="390" ht="44" customHeight="1">
      <c r="A390" s="16" t="inlineStr">
        <is>
          <t>JP-186</t>
        </is>
      </c>
      <c r="B390" s="16" t="inlineStr">
        <is>
          <t>JP-185</t>
        </is>
      </c>
      <c r="C390" s="16" t="inlineStr">
        <is>
          <t>Aka Island</t>
        </is>
      </c>
      <c r="D390" s="16" t="inlineStr">
        <is>
          <t>Furuzamami Beach</t>
        </is>
      </c>
      <c r="E390" s="93" t="n">
        <v>2.88</v>
      </c>
      <c r="F390" s="16" t="n">
        <v>23</v>
      </c>
      <c r="G390" s="16" t="inlineStr">
        <is>
          <t>Transporte local</t>
        </is>
      </c>
      <c r="H390" s="16" t="inlineStr">
        <is>
          <t>Mismo cluster</t>
        </is>
      </c>
      <c r="I390" s="16" t="inlineStr">
        <is>
          <t>Estimación geográfica; validar ruta real</t>
        </is>
      </c>
    </row>
    <row r="391" ht="44" customHeight="1">
      <c r="A391" s="16" t="inlineStr">
        <is>
          <t>JP-186</t>
        </is>
      </c>
      <c r="B391" s="16" t="inlineStr">
        <is>
          <t>JP-184</t>
        </is>
      </c>
      <c r="C391" s="16" t="inlineStr">
        <is>
          <t>Aka Island</t>
        </is>
      </c>
      <c r="D391" s="16" t="inlineStr">
        <is>
          <t>Zamami Island</t>
        </is>
      </c>
      <c r="E391" s="93" t="n">
        <v>3.83</v>
      </c>
      <c r="F391" s="16" t="n">
        <v>31</v>
      </c>
      <c r="G391" s="16" t="inlineStr">
        <is>
          <t>Transporte local</t>
        </is>
      </c>
      <c r="H391" s="16" t="inlineStr">
        <is>
          <t>Mismo cluster</t>
        </is>
      </c>
      <c r="I391" s="16" t="inlineStr">
        <is>
          <t>Estimación geográfica; validar ruta real</t>
        </is>
      </c>
    </row>
    <row r="392" ht="44" customHeight="1">
      <c r="A392" s="16" t="inlineStr">
        <is>
          <t>JP-192</t>
        </is>
      </c>
      <c r="B392" s="16" t="inlineStr">
        <is>
          <t>JP-193</t>
        </is>
      </c>
      <c r="C392" s="16" t="inlineStr">
        <is>
          <t>Kabira Bay</t>
        </is>
      </c>
      <c r="D392" s="16" t="inlineStr">
        <is>
          <t>Yonehara Beach and coral</t>
        </is>
      </c>
      <c r="E392" s="93" t="n">
        <v>5.61</v>
      </c>
      <c r="F392" s="16" t="n">
        <v>45</v>
      </c>
      <c r="G392" s="16" t="inlineStr">
        <is>
          <t>Transporte local</t>
        </is>
      </c>
      <c r="H392" s="16" t="inlineStr">
        <is>
          <t>Mismo cluster</t>
        </is>
      </c>
      <c r="I392" s="16" t="inlineStr">
        <is>
          <t>Estimación geográfica; validar ruta real</t>
        </is>
      </c>
    </row>
    <row r="393" ht="44" customHeight="1">
      <c r="A393" s="16" t="inlineStr">
        <is>
          <t>JP-193</t>
        </is>
      </c>
      <c r="B393" s="16" t="inlineStr">
        <is>
          <t>JP-192</t>
        </is>
      </c>
      <c r="C393" s="16" t="inlineStr">
        <is>
          <t>Yonehara Beach and coral</t>
        </is>
      </c>
      <c r="D393" s="16" t="inlineStr">
        <is>
          <t>Kabira Bay</t>
        </is>
      </c>
      <c r="E393" s="93" t="n">
        <v>5.61</v>
      </c>
      <c r="F393" s="16" t="n">
        <v>45</v>
      </c>
      <c r="G393" s="16" t="inlineStr">
        <is>
          <t>Transporte local</t>
        </is>
      </c>
      <c r="H393" s="16" t="inlineStr">
        <is>
          <t>Mismo cluster</t>
        </is>
      </c>
      <c r="I393" s="16" t="inlineStr">
        <is>
          <t>Estimación geográfica; validar ruta real</t>
        </is>
      </c>
    </row>
    <row r="394" ht="44" customHeight="1">
      <c r="A394" s="16" t="inlineStr">
        <is>
          <t>JP-193</t>
        </is>
      </c>
      <c r="B394" s="16" t="inlineStr">
        <is>
          <t>JP-195</t>
        </is>
      </c>
      <c r="C394" s="16" t="inlineStr">
        <is>
          <t>Yonehara Beach and coral</t>
        </is>
      </c>
      <c r="D394" s="16" t="inlineStr">
        <is>
          <t>Yaeyama stargazing experience</t>
        </is>
      </c>
      <c r="E394" s="93" t="n">
        <v>5.92</v>
      </c>
      <c r="F394" s="16" t="n">
        <v>47</v>
      </c>
      <c r="G394" s="16" t="inlineStr">
        <is>
          <t>Transporte local</t>
        </is>
      </c>
      <c r="H394" s="16" t="inlineStr">
        <is>
          <t>Mismo cluster</t>
        </is>
      </c>
      <c r="I394" s="16" t="inlineStr">
        <is>
          <t>Estimación geográfica; validar ruta real</t>
        </is>
      </c>
    </row>
    <row r="395" ht="44" customHeight="1">
      <c r="A395" s="16" t="inlineStr">
        <is>
          <t>JP-194</t>
        </is>
      </c>
      <c r="B395" s="16" t="inlineStr">
        <is>
          <t>JP-195</t>
        </is>
      </c>
      <c r="C395" s="16" t="inlineStr">
        <is>
          <t>Banna Park</t>
        </is>
      </c>
      <c r="D395" s="16" t="inlineStr">
        <is>
          <t>Yaeyama stargazing experience</t>
        </is>
      </c>
      <c r="E395" s="93" t="n">
        <v>4.16</v>
      </c>
      <c r="F395" s="16" t="n">
        <v>33</v>
      </c>
      <c r="G395" s="16" t="inlineStr">
        <is>
          <t>Transporte local</t>
        </is>
      </c>
      <c r="H395" s="16" t="inlineStr">
        <is>
          <t>Mismo cluster</t>
        </is>
      </c>
      <c r="I395" s="16" t="inlineStr">
        <is>
          <t>Estimación geográfica; validar ruta real</t>
        </is>
      </c>
    </row>
    <row r="396" ht="44" customHeight="1">
      <c r="A396" s="16" t="inlineStr">
        <is>
          <t>JP-195</t>
        </is>
      </c>
      <c r="B396" s="16" t="inlineStr">
        <is>
          <t>JP-194</t>
        </is>
      </c>
      <c r="C396" s="16" t="inlineStr">
        <is>
          <t>Yaeyama stargazing experience</t>
        </is>
      </c>
      <c r="D396" s="16" t="inlineStr">
        <is>
          <t>Banna Park</t>
        </is>
      </c>
      <c r="E396" s="93" t="n">
        <v>4.16</v>
      </c>
      <c r="F396" s="16" t="n">
        <v>33</v>
      </c>
      <c r="G396" s="16" t="inlineStr">
        <is>
          <t>Transporte local</t>
        </is>
      </c>
      <c r="H396" s="16" t="inlineStr">
        <is>
          <t>Mismo cluster</t>
        </is>
      </c>
      <c r="I396" s="16" t="inlineStr">
        <is>
          <t>Estimación geográfica; validar ruta real</t>
        </is>
      </c>
    </row>
    <row r="397" ht="44" customHeight="1">
      <c r="A397" s="16" t="inlineStr">
        <is>
          <t>JP-195</t>
        </is>
      </c>
      <c r="B397" s="16" t="inlineStr">
        <is>
          <t>JP-193</t>
        </is>
      </c>
      <c r="C397" s="16" t="inlineStr">
        <is>
          <t>Yaeyama stargazing experience</t>
        </is>
      </c>
      <c r="D397" s="16" t="inlineStr">
        <is>
          <t>Yonehara Beach and coral</t>
        </is>
      </c>
      <c r="E397" s="93" t="n">
        <v>5.92</v>
      </c>
      <c r="F397" s="16" t="n">
        <v>47</v>
      </c>
      <c r="G397" s="16" t="inlineStr">
        <is>
          <t>Transporte local</t>
        </is>
      </c>
      <c r="H397" s="16" t="inlineStr">
        <is>
          <t>Mismo cluster</t>
        </is>
      </c>
      <c r="I397" s="16" t="inlineStr">
        <is>
          <t>Estimación geográfica; validar ruta real</t>
        </is>
      </c>
    </row>
    <row r="398" ht="44" customHeight="1">
      <c r="A398" s="16" t="inlineStr">
        <is>
          <t>JP-197</t>
        </is>
      </c>
      <c r="B398" s="16" t="inlineStr">
        <is>
          <t>JP-198</t>
        </is>
      </c>
      <c r="C398" s="16" t="inlineStr">
        <is>
          <t>Iriomote mangrove and jungle expedition</t>
        </is>
      </c>
      <c r="D398" s="16" t="inlineStr">
        <is>
          <t>Pinaisara Falls</t>
        </is>
      </c>
      <c r="E398" s="93" t="n">
        <v>2.84</v>
      </c>
      <c r="F398" s="16" t="n">
        <v>23</v>
      </c>
      <c r="G398" s="16" t="inlineStr">
        <is>
          <t>Transporte local</t>
        </is>
      </c>
      <c r="H398" s="16" t="inlineStr">
        <is>
          <t>Mismo cluster</t>
        </is>
      </c>
      <c r="I398" s="16" t="inlineStr">
        <is>
          <t>Estimación geográfica; validar ruta real</t>
        </is>
      </c>
    </row>
    <row r="399" ht="44" customHeight="1">
      <c r="A399" s="16" t="inlineStr">
        <is>
          <t>JP-198</t>
        </is>
      </c>
      <c r="B399" s="16" t="inlineStr">
        <is>
          <t>JP-197</t>
        </is>
      </c>
      <c r="C399" s="16" t="inlineStr">
        <is>
          <t>Pinaisara Falls</t>
        </is>
      </c>
      <c r="D399" s="16" t="inlineStr">
        <is>
          <t>Iriomote mangrove and jungle expedition</t>
        </is>
      </c>
      <c r="E399" s="93" t="n">
        <v>2.84</v>
      </c>
      <c r="F399" s="16" t="n">
        <v>23</v>
      </c>
      <c r="G399" s="16" t="inlineStr">
        <is>
          <t>Transporte local</t>
        </is>
      </c>
      <c r="H399" s="16" t="inlineStr">
        <is>
          <t>Mismo cluster</t>
        </is>
      </c>
      <c r="I399" s="16" t="inlineStr">
        <is>
          <t>Estimación geográfica; validar ruta real</t>
        </is>
      </c>
    </row>
    <row r="400" ht="44" customHeight="1">
      <c r="A400" s="16" t="inlineStr">
        <is>
          <t>JP-202</t>
        </is>
      </c>
      <c r="B400" s="16" t="inlineStr">
        <is>
          <t>JP-161</t>
        </is>
      </c>
      <c r="C400" s="16" t="inlineStr">
        <is>
          <t>Whale watching in the Kerama waters</t>
        </is>
      </c>
      <c r="D400" s="16" t="inlineStr">
        <is>
          <t>Okinawa Prefectural Museum &amp; Art Museum</t>
        </is>
      </c>
      <c r="E400" s="93" t="n">
        <v>1.48</v>
      </c>
      <c r="F400" s="16" t="n">
        <v>21</v>
      </c>
      <c r="G400" s="16" t="inlineStr">
        <is>
          <t>A pie</t>
        </is>
      </c>
      <c r="H400" s="16" t="inlineStr">
        <is>
          <t>Cercano</t>
        </is>
      </c>
      <c r="I400" s="16" t="inlineStr">
        <is>
          <t>Estimación geográfica; validar ruta real</t>
        </is>
      </c>
    </row>
    <row r="401" ht="44" customHeight="1">
      <c r="A401" s="16" t="inlineStr">
        <is>
          <t>JP-202</t>
        </is>
      </c>
      <c r="B401" s="16" t="inlineStr">
        <is>
          <t>JP-153</t>
        </is>
      </c>
      <c r="C401" s="16" t="inlineStr">
        <is>
          <t>Whale watching in the Kerama waters</t>
        </is>
      </c>
      <c r="D401" s="16" t="inlineStr">
        <is>
          <t>Kokusai Street</t>
        </is>
      </c>
      <c r="E401" s="93" t="n">
        <v>1.62</v>
      </c>
      <c r="F401" s="16" t="n">
        <v>23</v>
      </c>
      <c r="G401" s="16" t="inlineStr">
        <is>
          <t>A pie</t>
        </is>
      </c>
      <c r="H401" s="16" t="inlineStr">
        <is>
          <t>Cercano</t>
        </is>
      </c>
      <c r="I401" s="16" t="inlineStr">
        <is>
          <t>Estimación geográfica; validar ruta real</t>
        </is>
      </c>
    </row>
    <row r="402" ht="44" customHeight="1">
      <c r="A402" s="16" t="inlineStr">
        <is>
          <t>JP-202</t>
        </is>
      </c>
      <c r="B402" s="16" t="inlineStr">
        <is>
          <t>JP-154</t>
        </is>
      </c>
      <c r="C402" s="16" t="inlineStr">
        <is>
          <t>Whale watching in the Kerama waters</t>
        </is>
      </c>
      <c r="D402" s="16" t="inlineStr">
        <is>
          <t>First Makishi Public Market</t>
        </is>
      </c>
      <c r="E402" s="93" t="n">
        <v>1.85</v>
      </c>
      <c r="F402" s="16" t="n">
        <v>15</v>
      </c>
      <c r="G402" s="16" t="inlineStr">
        <is>
          <t>Transporte local</t>
        </is>
      </c>
      <c r="H402" s="16" t="inlineStr">
        <is>
          <t>Cercano</t>
        </is>
      </c>
      <c r="I402" s="16" t="inlineStr">
        <is>
          <t>Estimación geográfica; validar ruta real</t>
        </is>
      </c>
    </row>
    <row r="403">
      <c r="A403" t="inlineStr">
        <is>
          <t>JP-203</t>
        </is>
      </c>
      <c r="B403" t="inlineStr">
        <is>
          <t>JP-204</t>
        </is>
      </c>
      <c r="C403" t="inlineStr">
        <is>
          <t>Tokyo Disneyland</t>
        </is>
      </c>
      <c r="D403" t="inlineStr">
        <is>
          <t>Tokyo DisneySea</t>
        </is>
      </c>
      <c r="E403" t="n">
        <v>0.8</v>
      </c>
      <c r="F403" t="n">
        <v>10</v>
      </c>
      <c r="G403" t="inlineStr">
        <is>
          <t>Disney Resort Line</t>
        </is>
      </c>
      <c r="H403" t="inlineStr">
        <is>
          <t>Alternativas/complementos</t>
        </is>
      </c>
      <c r="I403" t="inlineStr">
        <is>
          <t>No asumir que ambos son equivalentes.</t>
        </is>
      </c>
    </row>
    <row r="404">
      <c r="A404" t="inlineStr">
        <is>
          <t>JP-204</t>
        </is>
      </c>
      <c r="B404" t="inlineStr">
        <is>
          <t>JP-203</t>
        </is>
      </c>
      <c r="C404" t="inlineStr">
        <is>
          <t>Tokyo DisneySea</t>
        </is>
      </c>
      <c r="D404" t="inlineStr">
        <is>
          <t>Tokyo Disneyland</t>
        </is>
      </c>
      <c r="E404" t="n">
        <v>0.8</v>
      </c>
      <c r="F404" t="n">
        <v>10</v>
      </c>
      <c r="G404" t="inlineStr">
        <is>
          <t>Disney Resort Line</t>
        </is>
      </c>
      <c r="H404" t="inlineStr">
        <is>
          <t>Alternativas/complementos</t>
        </is>
      </c>
      <c r="I404" t="inlineStr">
        <is>
          <t>No asumir que ambos son equivalentes.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5.889999866485596" customWidth="1" min="1" max="1"/>
    <col width="24" customWidth="1" min="2" max="2"/>
    <col width="9.329999923706055" customWidth="1" min="3" max="3"/>
    <col width="18" customWidth="1" min="4" max="4"/>
    <col width="30" customWidth="1" min="5" max="5"/>
    <col width="8.779999732971191" customWidth="1" min="6" max="6"/>
    <col width="21.44000053405762" customWidth="1" min="7" max="7"/>
    <col width="11.4399995803833" customWidth="1" min="8" max="8"/>
    <col width="32" customWidth="1" min="9" max="9"/>
    <col width="6.670000076293945" customWidth="1" min="10" max="10"/>
    <col width="34" customWidth="1" min="11" max="11"/>
    <col width="38" customWidth="1" min="12" max="12"/>
  </cols>
  <sheetData>
    <row r="1" ht="30" customHeight="1">
      <c r="A1" s="15" t="inlineStr">
        <is>
          <t>Base</t>
        </is>
      </c>
      <c r="B1" s="15" t="inlineStr">
        <is>
          <t>Excursión</t>
        </is>
      </c>
      <c r="C1" s="15" t="inlineStr">
        <is>
          <t>Prefectura</t>
        </is>
      </c>
      <c r="D1" s="15" t="inlineStr">
        <is>
          <t>Traslado real aprox.</t>
        </is>
      </c>
      <c r="E1" s="15" t="inlineStr">
        <is>
          <t>Interés</t>
        </is>
      </c>
      <c r="F1" s="15" t="inlineStr">
        <is>
          <t>Dificultad</t>
        </is>
      </c>
      <c r="G1" s="15" t="inlineStr">
        <is>
          <t>¿Day trip?</t>
        </is>
      </c>
      <c r="H1" s="15" t="inlineStr">
        <is>
          <t>¿Dormir?</t>
        </is>
      </c>
      <c r="I1" s="15" t="inlineStr">
        <is>
          <t>Compite con</t>
        </is>
      </c>
      <c r="J1" s="15" t="inlineStr">
        <is>
          <t>Grado</t>
        </is>
      </c>
      <c r="K1" s="15" t="inlineStr">
        <is>
          <t>Dictamen</t>
        </is>
      </c>
      <c r="L1" s="15" t="inlineStr">
        <is>
          <t>Fuente</t>
        </is>
      </c>
    </row>
    <row r="2" ht="44" customHeight="1">
      <c r="A2" s="16" t="inlineStr">
        <is>
          <t>Tokio</t>
        </is>
      </c>
      <c r="B2" s="16" t="inlineStr">
        <is>
          <t>Kamakura + Enoshima</t>
        </is>
      </c>
      <c r="C2" s="16" t="inlineStr">
        <is>
          <t>Kanagawa</t>
        </is>
      </c>
      <c r="D2" s="16" t="inlineStr">
        <is>
          <t>50–80 min</t>
        </is>
      </c>
      <c r="E2" s="16" t="inlineStr">
        <is>
          <t>Costa, templos, Enoden y miradores</t>
        </is>
      </c>
      <c r="F2" s="16" t="inlineStr">
        <is>
          <t>Fácil</t>
        </is>
      </c>
      <c r="G2" s="16" t="inlineStr">
        <is>
          <t>Sí</t>
        </is>
      </c>
      <c r="H2" s="16" t="inlineStr">
        <is>
          <t>Opcional</t>
        </is>
      </c>
      <c r="I2" s="16" t="inlineStr">
        <is>
          <t>Compite parcialmente con Nara por patrimonio; gana en costa</t>
        </is>
      </c>
      <c r="J2" s="16" t="inlineStr">
        <is>
          <t>A</t>
        </is>
      </c>
      <c r="K2" s="16" t="inlineStr">
        <is>
          <t>Combinar ambas solo con día completo</t>
        </is>
      </c>
      <c r="L2" s="16" t="inlineStr">
        <is>
          <t>https://trip.pref.kanagawa.jp/</t>
        </is>
      </c>
    </row>
    <row r="3" ht="44" customHeight="1">
      <c r="A3" s="16" t="inlineStr">
        <is>
          <t>Tokio</t>
        </is>
      </c>
      <c r="B3" s="16" t="inlineStr">
        <is>
          <t>Yokohama</t>
        </is>
      </c>
      <c r="C3" s="16" t="inlineStr">
        <is>
          <t>Kanagawa</t>
        </is>
      </c>
      <c r="D3" s="16" t="inlineStr">
        <is>
          <t>25–45 min</t>
        </is>
      </c>
      <c r="E3" s="16" t="inlineStr">
        <is>
          <t>Puerto, arquitectura, Chinatown, noche</t>
        </is>
      </c>
      <c r="F3" s="16" t="inlineStr">
        <is>
          <t>Fácil</t>
        </is>
      </c>
      <c r="G3" s="16" t="inlineStr">
        <is>
          <t>Sí</t>
        </is>
      </c>
      <c r="H3" s="16" t="inlineStr">
        <is>
          <t>No</t>
        </is>
      </c>
      <c r="I3" s="16" t="inlineStr">
        <is>
          <t>Compite con Odaiba por waterfront; Yokohama es ciudad real</t>
        </is>
      </c>
      <c r="J3" s="16" t="inlineStr">
        <is>
          <t>A</t>
        </is>
      </c>
      <c r="K3" s="16" t="inlineStr">
        <is>
          <t>Gran excursión de tarde-noche</t>
        </is>
      </c>
      <c r="L3" s="16" t="inlineStr">
        <is>
          <t>https://www.yokohamajapan.com/</t>
        </is>
      </c>
    </row>
    <row r="4" ht="44" customHeight="1">
      <c r="A4" s="16" t="inlineStr">
        <is>
          <t>Tokio</t>
        </is>
      </c>
      <c r="B4" s="16" t="inlineStr">
        <is>
          <t>Hakone</t>
        </is>
      </c>
      <c r="C4" s="16" t="inlineStr">
        <is>
          <t>Kanagawa</t>
        </is>
      </c>
      <c r="D4" s="16" t="inlineStr">
        <is>
          <t>90–120 min</t>
        </is>
      </c>
      <c r="E4" s="16" t="inlineStr">
        <is>
          <t>Onsen, arte, lago y Fuji</t>
        </is>
      </c>
      <c r="F4" s="16" t="inlineStr">
        <is>
          <t>Media</t>
        </is>
      </c>
      <c r="G4" s="16" t="inlineStr">
        <is>
          <t>Sí, largo</t>
        </is>
      </c>
      <c r="H4" s="16" t="inlineStr">
        <is>
          <t>Sí</t>
        </is>
      </c>
      <c r="I4" s="16" t="inlineStr">
        <is>
          <t>Compite con Kawaguchiko: Hakone gana en onsen/arte; pierde en Fuji</t>
        </is>
      </c>
      <c r="J4" s="16" t="inlineStr">
        <is>
          <t>S</t>
        </is>
      </c>
      <c r="K4" s="16" t="inlineStr">
        <is>
          <t>Dormir mejora mucho la experiencia</t>
        </is>
      </c>
      <c r="L4" s="16" t="inlineStr">
        <is>
          <t>https://www.hakonenavi.jp/international/en/</t>
        </is>
      </c>
    </row>
    <row r="5" ht="44" customHeight="1">
      <c r="A5" s="16" t="inlineStr">
        <is>
          <t>Tokio</t>
        </is>
      </c>
      <c r="B5" s="16" t="inlineStr">
        <is>
          <t>Nikko</t>
        </is>
      </c>
      <c r="C5" s="16" t="inlineStr">
        <is>
          <t>Tochigi</t>
        </is>
      </c>
      <c r="D5" s="16" t="inlineStr">
        <is>
          <t>110–140 min</t>
        </is>
      </c>
      <c r="E5" s="16" t="inlineStr">
        <is>
          <t>Patrimonio UNESCO y montaña</t>
        </is>
      </c>
      <c r="F5" s="16" t="inlineStr">
        <is>
          <t>Media</t>
        </is>
      </c>
      <c r="G5" s="16" t="inlineStr">
        <is>
          <t>Sí, largo</t>
        </is>
      </c>
      <c r="H5" s="16" t="inlineStr">
        <is>
          <t>Sí para naturaleza</t>
        </is>
      </c>
      <c r="I5" s="16" t="inlineStr">
        <is>
          <t>Compite con Kamakura: Nikko es más monumental y lejano</t>
        </is>
      </c>
      <c r="J5" s="16" t="inlineStr">
        <is>
          <t>S</t>
        </is>
      </c>
      <c r="K5" s="16" t="inlineStr">
        <is>
          <t>No reducirlo a Toshogu si se duerme</t>
        </is>
      </c>
      <c r="L5" s="16" t="inlineStr">
        <is>
          <t>https://www.visitnikko.jp/en/</t>
        </is>
      </c>
    </row>
    <row r="6" ht="44" customHeight="1">
      <c r="A6" s="16" t="inlineStr">
        <is>
          <t>Tokio</t>
        </is>
      </c>
      <c r="B6" s="16" t="inlineStr">
        <is>
          <t>Kawaguchiko / Fuji Five Lakes</t>
        </is>
      </c>
      <c r="C6" s="16" t="inlineStr">
        <is>
          <t>Yamanashi</t>
        </is>
      </c>
      <c r="D6" s="16" t="inlineStr">
        <is>
          <t>110–150 min</t>
        </is>
      </c>
      <c r="E6" s="16" t="inlineStr">
        <is>
          <t>Vistas de Fuji, lagos y cuevas</t>
        </is>
      </c>
      <c r="F6" s="16" t="inlineStr">
        <is>
          <t>Media</t>
        </is>
      </c>
      <c r="G6" s="16" t="inlineStr">
        <is>
          <t>Sí, largo</t>
        </is>
      </c>
      <c r="H6" s="16" t="inlineStr">
        <is>
          <t>Sí</t>
        </is>
      </c>
      <c r="I6" s="16" t="inlineStr">
        <is>
          <t>Compite con Hakone; elegir por clima e interés</t>
        </is>
      </c>
      <c r="J6" s="16" t="inlineStr">
        <is>
          <t>S</t>
        </is>
      </c>
      <c r="K6" s="16" t="inlineStr">
        <is>
          <t>La visibilidad de Fuji es incierta</t>
        </is>
      </c>
      <c r="L6" s="16" t="inlineStr">
        <is>
          <t>https://www.japan.travel/en/</t>
        </is>
      </c>
    </row>
    <row r="7" ht="44" customHeight="1">
      <c r="A7" s="16" t="inlineStr">
        <is>
          <t>Tokio</t>
        </is>
      </c>
      <c r="B7" s="16" t="inlineStr">
        <is>
          <t>Kawagoe</t>
        </is>
      </c>
      <c r="C7" s="16" t="inlineStr">
        <is>
          <t>Saitama</t>
        </is>
      </c>
      <c r="D7" s="16" t="inlineStr">
        <is>
          <t>35–60 min</t>
        </is>
      </c>
      <c r="E7" s="16" t="inlineStr">
        <is>
          <t>Paisaje Edo, almacenes y comida</t>
        </is>
      </c>
      <c r="F7" s="16" t="inlineStr">
        <is>
          <t>Fácil</t>
        </is>
      </c>
      <c r="G7" s="16" t="inlineStr">
        <is>
          <t>Sí</t>
        </is>
      </c>
      <c r="H7" s="16" t="inlineStr">
        <is>
          <t>No</t>
        </is>
      </c>
      <c r="I7" s="16" t="inlineStr">
        <is>
          <t>Compite con Yanaka; Kawagoe es más escenográfico</t>
        </is>
      </c>
      <c r="J7" s="16" t="inlineStr">
        <is>
          <t>A</t>
        </is>
      </c>
      <c r="K7" s="16" t="inlineStr">
        <is>
          <t>Muy eficiente, pero fines de semana saturado</t>
        </is>
      </c>
      <c r="L7" s="16" t="inlineStr">
        <is>
          <t>https://www.japan.travel/en/</t>
        </is>
      </c>
    </row>
    <row r="8" ht="44" customHeight="1">
      <c r="A8" s="16" t="inlineStr">
        <is>
          <t>Tokio</t>
        </is>
      </c>
      <c r="B8" s="16" t="inlineStr">
        <is>
          <t>Chichibu + Nagatoro</t>
        </is>
      </c>
      <c r="C8" s="16" t="inlineStr">
        <is>
          <t>Saitama</t>
        </is>
      </c>
      <c r="D8" s="16" t="inlineStr">
        <is>
          <t>90–120 min</t>
        </is>
      </c>
      <c r="E8" s="16" t="inlineStr">
        <is>
          <t>Río, montaña y festivales</t>
        </is>
      </c>
      <c r="F8" s="16" t="inlineStr">
        <is>
          <t>Media</t>
        </is>
      </c>
      <c r="G8" s="16" t="inlineStr">
        <is>
          <t>Sí</t>
        </is>
      </c>
      <c r="H8" s="16" t="inlineStr">
        <is>
          <t>Opcional</t>
        </is>
      </c>
      <c r="I8" s="16" t="inlineStr">
        <is>
          <t>Compite con Mitake; gana en paisaje regional</t>
        </is>
      </c>
      <c r="J8" s="16" t="inlineStr">
        <is>
          <t>A</t>
        </is>
      </c>
      <c r="K8" s="16" t="inlineStr">
        <is>
          <t>Mejor con estación o actividad concreta</t>
        </is>
      </c>
      <c r="L8" s="16" t="inlineStr">
        <is>
          <t>https://www.japan.travel/en/</t>
        </is>
      </c>
    </row>
    <row r="9" ht="44" customHeight="1">
      <c r="A9" s="16" t="inlineStr">
        <is>
          <t>Tokio</t>
        </is>
      </c>
      <c r="B9" s="16" t="inlineStr">
        <is>
          <t>Mount Takao</t>
        </is>
      </c>
      <c r="C9" s="16" t="inlineStr">
        <is>
          <t>Tokio</t>
        </is>
      </c>
      <c r="D9" s="16" t="inlineStr">
        <is>
          <t>50–70 min</t>
        </is>
      </c>
      <c r="E9" s="16" t="inlineStr">
        <is>
          <t>Senderismo accesible</t>
        </is>
      </c>
      <c r="F9" s="16" t="inlineStr">
        <is>
          <t>Fácil–media</t>
        </is>
      </c>
      <c r="G9" s="16" t="inlineStr">
        <is>
          <t>Sí</t>
        </is>
      </c>
      <c r="H9" s="16" t="inlineStr">
        <is>
          <t>No</t>
        </is>
      </c>
      <c r="I9" s="16" t="inlineStr">
        <is>
          <t>Compite con Mitake; Takao es más fácil y concurrido</t>
        </is>
      </c>
      <c r="J9" s="16" t="inlineStr">
        <is>
          <t>A</t>
        </is>
      </c>
      <c r="K9" s="16" t="inlineStr">
        <is>
          <t>Excelente primer escape natural</t>
        </is>
      </c>
      <c r="L9" s="16" t="inlineStr">
        <is>
          <t>https://www.japan.travel/en/</t>
        </is>
      </c>
    </row>
    <row r="10" ht="44" customHeight="1">
      <c r="A10" s="16" t="inlineStr">
        <is>
          <t>Tokio</t>
        </is>
      </c>
      <c r="B10" s="16" t="inlineStr">
        <is>
          <t>Mount Mitake / Okutama</t>
        </is>
      </c>
      <c r="C10" s="16" t="inlineStr">
        <is>
          <t>Tokio</t>
        </is>
      </c>
      <c r="D10" s="16" t="inlineStr">
        <is>
          <t>90–130 min</t>
        </is>
      </c>
      <c r="E10" s="16" t="inlineStr">
        <is>
          <t>Bosque, santuario, valles</t>
        </is>
      </c>
      <c r="F10" s="16" t="inlineStr">
        <is>
          <t>Media</t>
        </is>
      </c>
      <c r="G10" s="16" t="inlineStr">
        <is>
          <t>Sí</t>
        </is>
      </c>
      <c r="H10" s="16" t="inlineStr">
        <is>
          <t>Opcional</t>
        </is>
      </c>
      <c r="I10" s="16" t="inlineStr">
        <is>
          <t>Compite con Takao; gana en atmósfera y calma</t>
        </is>
      </c>
      <c r="J10" s="16" t="inlineStr">
        <is>
          <t>A</t>
        </is>
      </c>
      <c r="K10" s="16" t="inlineStr">
        <is>
          <t>Más tiempo de traslado, mejor naturaleza</t>
        </is>
      </c>
      <c r="L10" s="16" t="inlineStr">
        <is>
          <t>https://www.gotokyo.org/en/index.html</t>
        </is>
      </c>
    </row>
    <row r="11" ht="44" customHeight="1">
      <c r="A11" s="16" t="inlineStr">
        <is>
          <t>Tokio</t>
        </is>
      </c>
      <c r="B11" s="16" t="inlineStr">
        <is>
          <t>Mount Nokogiri</t>
        </is>
      </c>
      <c r="C11" s="16" t="inlineStr">
        <is>
          <t>Chiba</t>
        </is>
      </c>
      <c r="D11" s="16" t="inlineStr">
        <is>
          <t>120–170 min</t>
        </is>
      </c>
      <c r="E11" s="16" t="inlineStr">
        <is>
          <t>Canteras, budas y bahía</t>
        </is>
      </c>
      <c r="F11" s="16" t="inlineStr">
        <is>
          <t>Media</t>
        </is>
      </c>
      <c r="G11" s="16" t="inlineStr">
        <is>
          <t>Sí, largo</t>
        </is>
      </c>
      <c r="H11" s="16" t="inlineStr">
        <is>
          <t>Opcional</t>
        </is>
      </c>
      <c r="I11" s="16" t="inlineStr">
        <is>
          <t>Compite con Takao; más raro y costero</t>
        </is>
      </c>
      <c r="J11" s="16" t="inlineStr">
        <is>
          <t>A</t>
        </is>
      </c>
      <c r="K11" s="16" t="inlineStr">
        <is>
          <t>Day trip exigente sin auto</t>
        </is>
      </c>
      <c r="L11" s="16" t="inlineStr">
        <is>
          <t>https://www.visitchiba.jp/</t>
        </is>
      </c>
    </row>
    <row r="12" ht="44" customHeight="1">
      <c r="A12" s="16" t="inlineStr">
        <is>
          <t>Tokio</t>
        </is>
      </c>
      <c r="B12" s="16" t="inlineStr">
        <is>
          <t>Sawara + Naritasan</t>
        </is>
      </c>
      <c r="C12" s="16" t="inlineStr">
        <is>
          <t>Chiba</t>
        </is>
      </c>
      <c r="D12" s="16" t="inlineStr">
        <is>
          <t>70–120 min</t>
        </is>
      </c>
      <c r="E12" s="16" t="inlineStr">
        <is>
          <t>Canales Edo y templo</t>
        </is>
      </c>
      <c r="F12" s="16" t="inlineStr">
        <is>
          <t>Fácil</t>
        </is>
      </c>
      <c r="G12" s="16" t="inlineStr">
        <is>
          <t>Sí</t>
        </is>
      </c>
      <c r="H12" s="16" t="inlineStr">
        <is>
          <t>No</t>
        </is>
      </c>
      <c r="I12" s="16" t="inlineStr">
        <is>
          <t>Compite con Kawagoe; Sawara suele estar más tranquila</t>
        </is>
      </c>
      <c r="J12" s="16" t="inlineStr">
        <is>
          <t>A</t>
        </is>
      </c>
      <c r="K12" s="16" t="inlineStr">
        <is>
          <t>Muy buena hidden gem antes/después de NRT</t>
        </is>
      </c>
      <c r="L12" s="16" t="inlineStr">
        <is>
          <t>https://www.visitchiba.jp/</t>
        </is>
      </c>
    </row>
    <row r="13" ht="44" customHeight="1">
      <c r="A13" s="16" t="inlineStr">
        <is>
          <t>Kioto</t>
        </is>
      </c>
      <c r="B13" s="16" t="inlineStr">
        <is>
          <t>Uji</t>
        </is>
      </c>
      <c r="C13" s="16" t="inlineStr">
        <is>
          <t>Kioto</t>
        </is>
      </c>
      <c r="D13" s="16" t="inlineStr">
        <is>
          <t>20–35 min</t>
        </is>
      </c>
      <c r="E13" s="16" t="inlineStr">
        <is>
          <t>Nintendo, Byodo-in y té</t>
        </is>
      </c>
      <c r="F13" s="16" t="inlineStr">
        <is>
          <t>Fácil</t>
        </is>
      </c>
      <c r="G13" s="16" t="inlineStr">
        <is>
          <t>Sí</t>
        </is>
      </c>
      <c r="H13" s="16" t="inlineStr">
        <is>
          <t>Opcional</t>
        </is>
      </c>
      <c r="I13" s="16" t="inlineStr">
        <is>
          <t>No sustituye Kioto; añade gaming y té</t>
        </is>
      </c>
      <c r="J13" s="16" t="inlineStr">
        <is>
          <t>S</t>
        </is>
      </c>
      <c r="K13" s="16" t="inlineStr">
        <is>
          <t>Puede requerir día completo con Nintendo</t>
        </is>
      </c>
      <c r="L13" s="16" t="inlineStr">
        <is>
          <t>https://kyoto.travel/en/</t>
        </is>
      </c>
    </row>
    <row r="14" ht="44" customHeight="1">
      <c r="A14" s="16" t="inlineStr">
        <is>
          <t>Kioto</t>
        </is>
      </c>
      <c r="B14" s="16" t="inlineStr">
        <is>
          <t>Nara</t>
        </is>
      </c>
      <c r="C14" s="16" t="inlineStr">
        <is>
          <t>Nara</t>
        </is>
      </c>
      <c r="D14" s="16" t="inlineStr">
        <is>
          <t>40–60 min</t>
        </is>
      </c>
      <c r="E14" s="16" t="inlineStr">
        <is>
          <t>Templos, ciervos y barrios</t>
        </is>
      </c>
      <c r="F14" s="16" t="inlineStr">
        <is>
          <t>Fácil</t>
        </is>
      </c>
      <c r="G14" s="16" t="inlineStr">
        <is>
          <t>Sí</t>
        </is>
      </c>
      <c r="H14" s="16" t="inlineStr">
        <is>
          <t>Opcional</t>
        </is>
      </c>
      <c r="I14" s="16" t="inlineStr">
        <is>
          <t>Compite con más templos de Kioto; gana en antigüedad y escala</t>
        </is>
      </c>
      <c r="J14" s="16" t="inlineStr">
        <is>
          <t>S</t>
        </is>
      </c>
      <c r="K14" s="16" t="inlineStr">
        <is>
          <t>Patrimonio suficientemente distinto</t>
        </is>
      </c>
      <c r="L14" s="16" t="inlineStr">
        <is>
          <t>https://www.visitnara.jp/</t>
        </is>
      </c>
    </row>
    <row r="15" ht="44" customHeight="1">
      <c r="A15" s="16" t="inlineStr">
        <is>
          <t>Kioto</t>
        </is>
      </c>
      <c r="B15" s="16" t="inlineStr">
        <is>
          <t>Ohara</t>
        </is>
      </c>
      <c r="C15" s="16" t="inlineStr">
        <is>
          <t>Kioto</t>
        </is>
      </c>
      <c r="D15" s="16" t="inlineStr">
        <is>
          <t>55–75 min</t>
        </is>
      </c>
      <c r="E15" s="16" t="inlineStr">
        <is>
          <t>Musgo, campo y templos</t>
        </is>
      </c>
      <c r="F15" s="16" t="inlineStr">
        <is>
          <t>Fácil</t>
        </is>
      </c>
      <c r="G15" s="16" t="inlineStr">
        <is>
          <t>Sí</t>
        </is>
      </c>
      <c r="H15" s="16" t="inlineStr">
        <is>
          <t>No</t>
        </is>
      </c>
      <c r="I15" s="16" t="inlineStr">
        <is>
          <t>Compite con Arashiyama; Ohara gana en serenidad</t>
        </is>
      </c>
      <c r="J15" s="16" t="inlineStr">
        <is>
          <t>A</t>
        </is>
      </c>
      <c r="K15" s="16" t="inlineStr">
        <is>
          <t>Excelente alternativa a zonas centrales</t>
        </is>
      </c>
      <c r="L15" s="16" t="inlineStr">
        <is>
          <t>https://kyoto.travel/en/</t>
        </is>
      </c>
    </row>
    <row r="16" ht="44" customHeight="1">
      <c r="A16" s="16" t="inlineStr">
        <is>
          <t>Kioto</t>
        </is>
      </c>
      <c r="B16" s="16" t="inlineStr">
        <is>
          <t>Kurama + Kibune</t>
        </is>
      </c>
      <c r="C16" s="16" t="inlineStr">
        <is>
          <t>Kioto</t>
        </is>
      </c>
      <c r="D16" s="16" t="inlineStr">
        <is>
          <t>45–70 min</t>
        </is>
      </c>
      <c r="E16" s="16" t="inlineStr">
        <is>
          <t>Senderismo sagrado y montaña</t>
        </is>
      </c>
      <c r="F16" s="16" t="inlineStr">
        <is>
          <t>Media</t>
        </is>
      </c>
      <c r="G16" s="16" t="inlineStr">
        <is>
          <t>Sí</t>
        </is>
      </c>
      <c r="H16" s="16" t="inlineStr">
        <is>
          <t>No</t>
        </is>
      </c>
      <c r="I16" s="16" t="inlineStr">
        <is>
          <t>Compite con Takao; Kurama gana en travesía</t>
        </is>
      </c>
      <c r="J16" s="16" t="inlineStr">
        <is>
          <t>S</t>
        </is>
      </c>
      <c r="K16" s="16" t="inlineStr">
        <is>
          <t>Revisar estado del sendero</t>
        </is>
      </c>
      <c r="L16" s="16" t="inlineStr">
        <is>
          <t>https://kyoto.travel/en/</t>
        </is>
      </c>
    </row>
    <row r="17" ht="44" customHeight="1">
      <c r="A17" s="16" t="inlineStr">
        <is>
          <t>Kioto</t>
        </is>
      </c>
      <c r="B17" s="16" t="inlineStr">
        <is>
          <t>Otsu / Enryaku-ji / Lake Biwa</t>
        </is>
      </c>
      <c r="C17" s="16" t="inlineStr">
        <is>
          <t>Shiga</t>
        </is>
      </c>
      <c r="D17" s="16" t="inlineStr">
        <is>
          <t>20–60 min</t>
        </is>
      </c>
      <c r="E17" s="16" t="inlineStr">
        <is>
          <t>Lago y montaña sagrada</t>
        </is>
      </c>
      <c r="F17" s="16" t="inlineStr">
        <is>
          <t>Media</t>
        </is>
      </c>
      <c r="G17" s="16" t="inlineStr">
        <is>
          <t>Sí</t>
        </is>
      </c>
      <c r="H17" s="16" t="inlineStr">
        <is>
          <t>Opcional</t>
        </is>
      </c>
      <c r="I17" s="16" t="inlineStr">
        <is>
          <t>Compite con templos de Kioto; gana en paisaje regional</t>
        </is>
      </c>
      <c r="J17" s="16" t="inlineStr">
        <is>
          <t>A</t>
        </is>
      </c>
      <c r="K17" s="16" t="inlineStr">
        <is>
          <t>Elegir un subárea, no toda Biwa</t>
        </is>
      </c>
      <c r="L17" s="16" t="inlineStr">
        <is>
          <t>https://en.biwako-visitors.jp/</t>
        </is>
      </c>
    </row>
    <row r="18" ht="44" customHeight="1">
      <c r="A18" s="16" t="inlineStr">
        <is>
          <t>Kioto</t>
        </is>
      </c>
      <c r="B18" s="16" t="inlineStr">
        <is>
          <t>Amanohashidate + Ine</t>
        </is>
      </c>
      <c r="C18" s="16" t="inlineStr">
        <is>
          <t>Kioto</t>
        </is>
      </c>
      <c r="D18" s="16" t="inlineStr">
        <is>
          <t>130–180 min</t>
        </is>
      </c>
      <c r="E18" s="16" t="inlineStr">
        <is>
          <t>Costa y pueblo de funaya</t>
        </is>
      </c>
      <c r="F18" s="16" t="inlineStr">
        <is>
          <t>Alta</t>
        </is>
      </c>
      <c r="G18" s="16" t="inlineStr">
        <is>
          <t>Sí, muy largo</t>
        </is>
      </c>
      <c r="H18" s="16" t="inlineStr">
        <is>
          <t>Sí</t>
        </is>
      </c>
      <c r="I18" s="16" t="inlineStr">
        <is>
          <t>No compite con Kioto urbana; es otro Japón</t>
        </is>
      </c>
      <c r="J18" s="16" t="inlineStr">
        <is>
          <t>S</t>
        </is>
      </c>
      <c r="K18" s="16" t="inlineStr">
        <is>
          <t>Dormir convierte logística en experiencia</t>
        </is>
      </c>
      <c r="L18" s="16" t="inlineStr">
        <is>
          <t>https://www.amanohashidate.jp/lang/en/</t>
        </is>
      </c>
    </row>
    <row r="19" ht="44" customHeight="1">
      <c r="A19" s="16" t="inlineStr">
        <is>
          <t>Osaka</t>
        </is>
      </c>
      <c r="B19" s="16" t="inlineStr">
        <is>
          <t>Nara</t>
        </is>
      </c>
      <c r="C19" s="16" t="inlineStr">
        <is>
          <t>Nara</t>
        </is>
      </c>
      <c r="D19" s="16" t="inlineStr">
        <is>
          <t>35–55 min</t>
        </is>
      </c>
      <c r="E19" s="16" t="inlineStr">
        <is>
          <t>Patrimonio y ciervos</t>
        </is>
      </c>
      <c r="F19" s="16" t="inlineStr">
        <is>
          <t>Fácil</t>
        </is>
      </c>
      <c r="G19" s="16" t="inlineStr">
        <is>
          <t>Sí</t>
        </is>
      </c>
      <c r="H19" s="16" t="inlineStr">
        <is>
          <t>Opcional</t>
        </is>
      </c>
      <c r="I19" s="16" t="inlineStr">
        <is>
          <t>Más fuerte que Osaka en patrimonio antiguo</t>
        </is>
      </c>
      <c r="J19" s="16" t="inlineStr">
        <is>
          <t>S</t>
        </is>
      </c>
      <c r="K19" s="16" t="inlineStr">
        <is>
          <t>Una de las excursiones más eficientes</t>
        </is>
      </c>
      <c r="L19" s="16" t="inlineStr">
        <is>
          <t>https://www.visitnara.jp/</t>
        </is>
      </c>
    </row>
    <row r="20" ht="44" customHeight="1">
      <c r="A20" s="16" t="inlineStr">
        <is>
          <t>Osaka</t>
        </is>
      </c>
      <c r="B20" s="16" t="inlineStr">
        <is>
          <t>Kobe</t>
        </is>
      </c>
      <c r="C20" s="16" t="inlineStr">
        <is>
          <t>Hyogo</t>
        </is>
      </c>
      <c r="D20" s="16" t="inlineStr">
        <is>
          <t>20–35 min</t>
        </is>
      </c>
      <c r="E20" s="16" t="inlineStr">
        <is>
          <t>Puerto, montaña, comida y noche</t>
        </is>
      </c>
      <c r="F20" s="16" t="inlineStr">
        <is>
          <t>Fácil</t>
        </is>
      </c>
      <c r="G20" s="16" t="inlineStr">
        <is>
          <t>Sí</t>
        </is>
      </c>
      <c r="H20" s="16" t="inlineStr">
        <is>
          <t>No</t>
        </is>
      </c>
      <c r="I20" s="16" t="inlineStr">
        <is>
          <t>Compite con Yokohama si se visitan ambas regiones</t>
        </is>
      </c>
      <c r="J20" s="16" t="inlineStr">
        <is>
          <t>A</t>
        </is>
      </c>
      <c r="K20" s="16" t="inlineStr">
        <is>
          <t>Gana si se combina montaña y noche</t>
        </is>
      </c>
      <c r="L20" s="16" t="inlineStr">
        <is>
          <t>https://www.hyogo-tourism.jp/world/</t>
        </is>
      </c>
    </row>
    <row r="21" ht="44" customHeight="1">
      <c r="A21" s="16" t="inlineStr">
        <is>
          <t>Osaka</t>
        </is>
      </c>
      <c r="B21" s="16" t="inlineStr">
        <is>
          <t>Himeji + Mount Shosha</t>
        </is>
      </c>
      <c r="C21" s="16" t="inlineStr">
        <is>
          <t>Hyogo</t>
        </is>
      </c>
      <c r="D21" s="16" t="inlineStr">
        <is>
          <t>50–100 min</t>
        </is>
      </c>
      <c r="E21" s="16" t="inlineStr">
        <is>
          <t>Castillo original y templo de montaña</t>
        </is>
      </c>
      <c r="F21" s="16" t="inlineStr">
        <is>
          <t>Media</t>
        </is>
      </c>
      <c r="G21" s="16" t="inlineStr">
        <is>
          <t>Sí</t>
        </is>
      </c>
      <c r="H21" s="16" t="inlineStr">
        <is>
          <t>Opcional</t>
        </is>
      </c>
      <c r="I21" s="16" t="inlineStr">
        <is>
          <t>Himeji sustituye interiores de castillos reconstruidos</t>
        </is>
      </c>
      <c r="J21" s="16" t="inlineStr">
        <is>
          <t>S</t>
        </is>
      </c>
      <c r="K21" s="16" t="inlineStr">
        <is>
          <t>Día completo con Shosha</t>
        </is>
      </c>
      <c r="L21" s="16" t="inlineStr">
        <is>
          <t>https://www.hyogo-tourism.jp/world/</t>
        </is>
      </c>
    </row>
    <row r="22" ht="44" customHeight="1">
      <c r="A22" s="16" t="inlineStr">
        <is>
          <t>Osaka</t>
        </is>
      </c>
      <c r="B22" s="16" t="inlineStr">
        <is>
          <t>Koyasan</t>
        </is>
      </c>
      <c r="C22" s="16" t="inlineStr">
        <is>
          <t>Wakayama</t>
        </is>
      </c>
      <c r="D22" s="16" t="inlineStr">
        <is>
          <t>110–150 min</t>
        </is>
      </c>
      <c r="E22" s="16" t="inlineStr">
        <is>
          <t>Budismo y bosque</t>
        </is>
      </c>
      <c r="F22" s="16" t="inlineStr">
        <is>
          <t>Media</t>
        </is>
      </c>
      <c r="G22" s="16" t="inlineStr">
        <is>
          <t>Sí, largo</t>
        </is>
      </c>
      <c r="H22" s="16" t="inlineStr">
        <is>
          <t>Sí</t>
        </is>
      </c>
      <c r="I22" s="16" t="inlineStr">
        <is>
          <t>No redundante con Kioto por experiencia de shukubo</t>
        </is>
      </c>
      <c r="J22" s="16" t="inlineStr">
        <is>
          <t>S</t>
        </is>
      </c>
      <c r="K22" s="16" t="inlineStr">
        <is>
          <t>Dormir es claramente mejor</t>
        </is>
      </c>
      <c r="L22" s="16" t="inlineStr">
        <is>
          <t>https://en.visitwakayama.jp/</t>
        </is>
      </c>
    </row>
    <row r="23" ht="44" customHeight="1">
      <c r="A23" s="16" t="inlineStr">
        <is>
          <t>Osaka</t>
        </is>
      </c>
      <c r="B23" s="16" t="inlineStr">
        <is>
          <t>Tomogashima</t>
        </is>
      </c>
      <c r="C23" s="16" t="inlineStr">
        <is>
          <t>Wakayama</t>
        </is>
      </c>
      <c r="D23" s="16" t="inlineStr">
        <is>
          <t>120–180 min + ferry</t>
        </is>
      </c>
      <c r="E23" s="16" t="inlineStr">
        <is>
          <t>Ruinas, isla y senderismo</t>
        </is>
      </c>
      <c r="F23" s="16" t="inlineStr">
        <is>
          <t>Alta</t>
        </is>
      </c>
      <c r="G23" s="16" t="inlineStr">
        <is>
          <t>Sí, largo</t>
        </is>
      </c>
      <c r="H23" s="16" t="inlineStr">
        <is>
          <t>Opcional</t>
        </is>
      </c>
      <c r="I23" s="16" t="inlineStr">
        <is>
          <t>Compite con naturaleza de Okinawa; gana en ruinas</t>
        </is>
      </c>
      <c r="J23" s="16" t="inlineStr">
        <is>
          <t>A</t>
        </is>
      </c>
      <c r="K23" s="16" t="inlineStr">
        <is>
          <t>Muy sensible al clima</t>
        </is>
      </c>
      <c r="L23" s="16" t="inlineStr">
        <is>
          <t>https://en.visitwakayama.jp/</t>
        </is>
      </c>
    </row>
    <row r="24" ht="44" customHeight="1">
      <c r="A24" s="16" t="inlineStr">
        <is>
          <t>Osaka</t>
        </is>
      </c>
      <c r="B24" s="16" t="inlineStr">
        <is>
          <t>Kinosaki Onsen</t>
        </is>
      </c>
      <c r="C24" s="16" t="inlineStr">
        <is>
          <t>Hyogo</t>
        </is>
      </c>
      <c r="D24" s="16" t="inlineStr">
        <is>
          <t>150–180 min</t>
        </is>
      </c>
      <c r="E24" s="16" t="inlineStr">
        <is>
          <t>Pueblo termal</t>
        </is>
      </c>
      <c r="F24" s="16" t="inlineStr">
        <is>
          <t>Alta</t>
        </is>
      </c>
      <c r="G24" s="16" t="inlineStr">
        <is>
          <t>No recomendable como visita corta</t>
        </is>
      </c>
      <c r="H24" s="16" t="inlineStr">
        <is>
          <t>Sí</t>
        </is>
      </c>
      <c r="I24" s="16" t="inlineStr">
        <is>
          <t>Compite con Arima; Kinosaki gana con noche</t>
        </is>
      </c>
      <c r="J24" s="16" t="inlineStr">
        <is>
          <t>S</t>
        </is>
      </c>
      <c r="K24" s="16" t="inlineStr">
        <is>
          <t>No hacerlo ida y vuelta por pocas horas</t>
        </is>
      </c>
      <c r="L24" s="16" t="inlineStr">
        <is>
          <t>https://www.hyogo-tourism.jp/world/</t>
        </is>
      </c>
    </row>
    <row r="25" ht="44" customHeight="1">
      <c r="A25" s="16" t="inlineStr">
        <is>
          <t>Osaka</t>
        </is>
      </c>
      <c r="B25" s="16" t="inlineStr">
        <is>
          <t>Kumano Nachi</t>
        </is>
      </c>
      <c r="C25" s="16" t="inlineStr">
        <is>
          <t>Wakayama</t>
        </is>
      </c>
      <c r="D25" s="16" t="inlineStr">
        <is>
          <t>240–300 min</t>
        </is>
      </c>
      <c r="E25" s="16" t="inlineStr">
        <is>
          <t>Cascada y peregrinación</t>
        </is>
      </c>
      <c r="F25" s="16" t="inlineStr">
        <is>
          <t>Alta</t>
        </is>
      </c>
      <c r="G25" s="16" t="inlineStr">
        <is>
          <t>No</t>
        </is>
      </c>
      <c r="H25" s="16" t="inlineStr">
        <is>
          <t>Sí</t>
        </is>
      </c>
      <c r="I25" s="16" t="inlineStr">
        <is>
          <t>No compite con excursión corta; exige bloque propio</t>
        </is>
      </c>
      <c r="J25" s="16" t="inlineStr">
        <is>
          <t>S</t>
        </is>
      </c>
      <c r="K25" s="16" t="inlineStr">
        <is>
          <t>Mínimo una noche</t>
        </is>
      </c>
      <c r="L25" s="16" t="inlineStr">
        <is>
          <t>https://en.visitwakayama.jp/</t>
        </is>
      </c>
    </row>
    <row r="26" ht="44" customHeight="1">
      <c r="A26" s="16" t="inlineStr">
        <is>
          <t>Osaka</t>
        </is>
      </c>
      <c r="B26" s="16" t="inlineStr">
        <is>
          <t>Naoshima</t>
        </is>
      </c>
      <c r="C26" s="16" t="inlineStr">
        <is>
          <t>Kagawa</t>
        </is>
      </c>
      <c r="D26" s="16" t="inlineStr">
        <is>
          <t>150–220 min + ferry</t>
        </is>
      </c>
      <c r="E26" s="16" t="inlineStr">
        <is>
          <t>Arte y arquitectura</t>
        </is>
      </c>
      <c r="F26" s="16" t="inlineStr">
        <is>
          <t>Alta</t>
        </is>
      </c>
      <c r="G26" s="16" t="inlineStr">
        <is>
          <t>Posible, poco recomendable</t>
        </is>
      </c>
      <c r="H26" s="16" t="inlineStr">
        <is>
          <t>Sí</t>
        </is>
      </c>
      <c r="I26" s="16" t="inlineStr">
        <is>
          <t>Compite con museos urbanos; gana en paisaje total</t>
        </is>
      </c>
      <c r="J26" s="16" t="inlineStr">
        <is>
          <t>S</t>
        </is>
      </c>
      <c r="K26" s="16" t="inlineStr">
        <is>
          <t>Una noche mejora mucho</t>
        </is>
      </c>
      <c r="L26" s="16" t="inlineStr">
        <is>
          <t>https://benesse-artsite.jp/en/</t>
        </is>
      </c>
    </row>
    <row r="27" ht="44" customHeight="1">
      <c r="A27" s="16" t="inlineStr">
        <is>
          <t>Okinawa</t>
        </is>
      </c>
      <c r="B27" s="16" t="inlineStr">
        <is>
          <t>Kerama Islands</t>
        </is>
      </c>
      <c r="C27" s="16" t="inlineStr">
        <is>
          <t>Okinawa</t>
        </is>
      </c>
      <c r="D27" s="16" t="inlineStr">
        <is>
          <t>35–70 min ferry</t>
        </is>
      </c>
      <c r="E27" s="16" t="inlineStr">
        <is>
          <t>Playas, snorkel y ballenas</t>
        </is>
      </c>
      <c r="F27" s="16" t="inlineStr">
        <is>
          <t>Media</t>
        </is>
      </c>
      <c r="G27" s="16" t="inlineStr">
        <is>
          <t>Sí</t>
        </is>
      </c>
      <c r="H27" s="16" t="inlineStr">
        <is>
          <t>Sí</t>
        </is>
      </c>
      <c r="I27" s="16" t="inlineStr">
        <is>
          <t>Compite con playas de isla principal; Kerama gana claramente en mar</t>
        </is>
      </c>
      <c r="J27" s="16" t="inlineStr">
        <is>
          <t>S</t>
        </is>
      </c>
      <c r="K27" s="16" t="inlineStr">
        <is>
          <t>Reservar ferry y revisar oleaje</t>
        </is>
      </c>
      <c r="L27" s="16" t="inlineStr">
        <is>
          <t>https://visitokinawajapan.com/</t>
        </is>
      </c>
    </row>
    <row r="28" ht="44" customHeight="1">
      <c r="A28" s="16" t="inlineStr">
        <is>
          <t>Okinawa</t>
        </is>
      </c>
      <c r="B28" s="16" t="inlineStr">
        <is>
          <t>Kudaka Island</t>
        </is>
      </c>
      <c r="C28" s="16" t="inlineStr">
        <is>
          <t>Okinawa</t>
        </is>
      </c>
      <c r="D28" s="16" t="inlineStr">
        <is>
          <t>25 min ferry + traslado a Azama</t>
        </is>
      </c>
      <c r="E28" s="16" t="inlineStr">
        <is>
          <t>Cultura sagrada y bicicleta</t>
        </is>
      </c>
      <c r="F28" s="16" t="inlineStr">
        <is>
          <t>Media</t>
        </is>
      </c>
      <c r="G28" s="16" t="inlineStr">
        <is>
          <t>Sí</t>
        </is>
      </c>
      <c r="H28" s="16" t="inlineStr">
        <is>
          <t>Opcional</t>
        </is>
      </c>
      <c r="I28" s="16" t="inlineStr">
        <is>
          <t>Compite con Sefa Utaki; juntos explican cosmología Ryukyu</t>
        </is>
      </c>
      <c r="J28" s="16" t="inlineStr">
        <is>
          <t>A</t>
        </is>
      </c>
      <c r="K28" s="16" t="inlineStr">
        <is>
          <t>No tratarla como playa-resort</t>
        </is>
      </c>
      <c r="L28" s="16" t="inlineStr">
        <is>
          <t>https://visitokinawajapan.com/</t>
        </is>
      </c>
    </row>
    <row r="29" ht="44" customHeight="1">
      <c r="A29" s="16" t="inlineStr">
        <is>
          <t>Okinawa</t>
        </is>
      </c>
      <c r="B29" s="16" t="inlineStr">
        <is>
          <t>Yanbaru</t>
        </is>
      </c>
      <c r="C29" s="16" t="inlineStr">
        <is>
          <t>Okinawa</t>
        </is>
      </c>
      <c r="D29" s="16" t="inlineStr">
        <is>
          <t>120–180 min por carretera</t>
        </is>
      </c>
      <c r="E29" s="16" t="inlineStr">
        <is>
          <t>Bosque, kayak y fauna</t>
        </is>
      </c>
      <c r="F29" s="16" t="inlineStr">
        <is>
          <t>Alta</t>
        </is>
      </c>
      <c r="G29" s="16" t="inlineStr">
        <is>
          <t>Sí, muy largo</t>
        </is>
      </c>
      <c r="H29" s="16" t="inlineStr">
        <is>
          <t>Sí</t>
        </is>
      </c>
      <c r="I29" s="16" t="inlineStr">
        <is>
          <t>Compite con JUNGLIA; Yanbaru real tiene mayor valor natural</t>
        </is>
      </c>
      <c r="J29" s="16" t="inlineStr">
        <is>
          <t>S</t>
        </is>
      </c>
      <c r="K29" s="16" t="inlineStr">
        <is>
          <t>Dormir en el norte reduce conducción</t>
        </is>
      </c>
      <c r="L29" s="16" t="inlineStr">
        <is>
          <t>https://visitokinawajapan.com/</t>
        </is>
      </c>
    </row>
    <row r="30" ht="44" customHeight="1">
      <c r="A30" s="16" t="inlineStr">
        <is>
          <t>Okinawa</t>
        </is>
      </c>
      <c r="B30" s="16" t="inlineStr">
        <is>
          <t>Kume Island</t>
        </is>
      </c>
      <c r="C30" s="16" t="inlineStr">
        <is>
          <t>Okinawa</t>
        </is>
      </c>
      <c r="D30" s="16" t="inlineStr">
        <is>
          <t>Vuelo/ferry</t>
        </is>
      </c>
      <c r="E30" s="16" t="inlineStr">
        <is>
          <t>Hatenohama y humedales</t>
        </is>
      </c>
      <c r="F30" s="16" t="inlineStr">
        <is>
          <t>Alta</t>
        </is>
      </c>
      <c r="G30" s="16" t="inlineStr">
        <is>
          <t>No</t>
        </is>
      </c>
      <c r="H30" s="16" t="inlineStr">
        <is>
          <t>Sí</t>
        </is>
      </c>
      <c r="I30" s="16" t="inlineStr">
        <is>
          <t>Compite con Miyako por playa; menor escala y más calma</t>
        </is>
      </c>
      <c r="J30" s="16" t="inlineStr">
        <is>
          <t>A</t>
        </is>
      </c>
      <c r="K30" s="16" t="inlineStr">
        <is>
          <t>Requiere noches</t>
        </is>
      </c>
      <c r="L30" s="16" t="inlineStr">
        <is>
          <t>https://visitokinawajapan.com/</t>
        </is>
      </c>
    </row>
    <row r="31" ht="44" customHeight="1">
      <c r="A31" s="16" t="inlineStr">
        <is>
          <t>Okinawa</t>
        </is>
      </c>
      <c r="B31" s="16" t="inlineStr">
        <is>
          <t>Miyako Islands</t>
        </is>
      </c>
      <c r="C31" s="16" t="inlineStr">
        <is>
          <t>Okinawa</t>
        </is>
      </c>
      <c r="D31" s="16" t="inlineStr">
        <is>
          <t>Vuelo desde Naha</t>
        </is>
      </c>
      <c r="E31" s="16" t="inlineStr">
        <is>
          <t>Playas y arrecife</t>
        </is>
      </c>
      <c r="F31" s="16" t="inlineStr">
        <is>
          <t>Alta</t>
        </is>
      </c>
      <c r="G31" s="16" t="inlineStr">
        <is>
          <t>No</t>
        </is>
      </c>
      <c r="H31" s="16" t="inlineStr">
        <is>
          <t>Sí, 2–4</t>
        </is>
      </c>
      <c r="I31" s="16" t="inlineStr">
        <is>
          <t>Compite con Yaeyama: Miyako gana en playas/drive</t>
        </is>
      </c>
      <c r="J31" s="16" t="inlineStr">
        <is>
          <t>S</t>
        </is>
      </c>
      <c r="K31" s="16" t="inlineStr">
        <is>
          <t>No es day trip</t>
        </is>
      </c>
      <c r="L31" s="16" t="inlineStr">
        <is>
          <t>https://visitokinawajapan.com/</t>
        </is>
      </c>
    </row>
    <row r="32" ht="44" customHeight="1">
      <c r="A32" s="16" t="inlineStr">
        <is>
          <t>Okinawa</t>
        </is>
      </c>
      <c r="B32" s="16" t="inlineStr">
        <is>
          <t>Yaeyama Islands</t>
        </is>
      </c>
      <c r="C32" s="16" t="inlineStr">
        <is>
          <t>Okinawa</t>
        </is>
      </c>
      <c r="D32" s="16" t="inlineStr">
        <is>
          <t>Vuelo a Ishigaki + ferries</t>
        </is>
      </c>
      <c r="E32" s="16" t="inlineStr">
        <is>
          <t>Islas, cultura y selva</t>
        </is>
      </c>
      <c r="F32" s="16" t="inlineStr">
        <is>
          <t>Alta</t>
        </is>
      </c>
      <c r="G32" s="16" t="inlineStr">
        <is>
          <t>No</t>
        </is>
      </c>
      <c r="H32" s="16" t="inlineStr">
        <is>
          <t>Sí, 3–7</t>
        </is>
      </c>
      <c r="I32" s="16" t="inlineStr">
        <is>
          <t>Compite con Miyako: Yaeyama gana en variedad y aventura</t>
        </is>
      </c>
      <c r="J32" s="16" t="inlineStr">
        <is>
          <t>S</t>
        </is>
      </c>
      <c r="K32" s="16" t="inlineStr">
        <is>
          <t>No es day trip</t>
        </is>
      </c>
      <c r="L32" s="16" t="inlineStr">
        <is>
          <t>https://visitokinawajapan.com/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0" workbookViewId="0">
      <selection activeCell="A1" sqref="A1"/>
    </sheetView>
  </sheetViews>
  <sheetFormatPr baseColWidth="8" defaultRowHeight="15"/>
  <cols>
    <col width="4.78000020980835" customWidth="1" min="1" max="1"/>
    <col width="5.670000076293945" customWidth="1" min="2" max="2"/>
    <col width="28" customWidth="1" min="3" max="3"/>
    <col width="18" customWidth="1" min="4" max="4"/>
    <col width="28" customWidth="1" min="5" max="5"/>
    <col width="6.670000076293945" customWidth="1" min="6" max="6"/>
    <col width="44" customWidth="1" min="7" max="7"/>
    <col width="11.67000007629395" customWidth="1" min="8" max="8"/>
    <col width="38" customWidth="1" min="9" max="9"/>
  </cols>
  <sheetData>
    <row r="1" ht="30" customHeight="1">
      <c r="A1" t="inlineStr">
        <is>
          <t>ID</t>
        </is>
      </c>
      <c r="B1" t="inlineStr">
        <is>
          <t>Hub</t>
        </is>
      </c>
      <c r="C1" t="inlineStr">
        <is>
          <t>Lugar</t>
        </is>
      </c>
      <c r="D1" t="inlineStr">
        <is>
          <t>Hidden Gem Status</t>
        </is>
      </c>
      <c r="E1" t="inlineStr">
        <is>
          <t>Alternativa a</t>
        </is>
      </c>
      <c r="F1" t="inlineStr">
        <is>
          <t>Grado</t>
        </is>
      </c>
      <c r="G1" t="inlineStr">
        <is>
          <t>Por qué</t>
        </is>
      </c>
      <c r="H1" t="inlineStr">
        <is>
          <t>Aglomeración</t>
        </is>
      </c>
      <c r="I1" t="inlineStr">
        <is>
          <t>Fuente</t>
        </is>
      </c>
    </row>
    <row r="2" ht="44" customHeight="1">
      <c r="A2" t="inlineStr">
        <is>
          <t>JP-004</t>
        </is>
      </c>
      <c r="B2" t="inlineStr">
        <is>
          <t>Tokio</t>
        </is>
      </c>
      <c r="C2" t="inlineStr">
        <is>
          <t>Takeshita Street</t>
        </is>
      </c>
      <c r="D2" t="inlineStr">
        <is>
          <t>Alternativa menos saturada</t>
        </is>
      </c>
      <c r="E2" t="inlineStr">
        <is>
          <t>Cat Street / Koenji</t>
        </is>
      </c>
      <c r="F2" t="inlineStr">
        <is>
          <t>C</t>
        </is>
      </c>
      <c r="G2" t="inlineStr">
        <is>
          <t>Es famosa, pero las multitudes y tiendas repetitivas reducen el valor.</t>
        </is>
      </c>
      <c r="H2" t="inlineStr">
        <is>
          <t>Extremo</t>
        </is>
      </c>
      <c r="I2" t="inlineStr">
        <is>
          <t>https://www.gotokyo.org/en/index.html</t>
        </is>
      </c>
    </row>
    <row r="3" ht="44" customHeight="1">
      <c r="A3" t="inlineStr">
        <is>
          <t>JP-005</t>
        </is>
      </c>
      <c r="B3" t="inlineStr">
        <is>
          <t>Tokio</t>
        </is>
      </c>
      <c r="C3" t="inlineStr">
        <is>
          <t>Cat Street</t>
        </is>
      </c>
      <c r="D3" t="inlineStr">
        <is>
          <t>Alternativa menos saturada</t>
        </is>
      </c>
      <c r="E3" t="inlineStr">
        <is>
          <t>Takeshita Street</t>
        </is>
      </c>
      <c r="F3" t="inlineStr">
        <is>
          <t>A</t>
        </is>
      </c>
      <c r="G3" t="inlineStr">
        <is>
          <t>Mejor paseo de moda urbana que Takeshita si se busca diseño y ambiente.</t>
        </is>
      </c>
      <c r="H3" t="inlineStr">
        <is>
          <t>Alto</t>
        </is>
      </c>
      <c r="I3" t="inlineStr">
        <is>
          <t>https://www.gotokyo.org/en/index.html</t>
        </is>
      </c>
    </row>
    <row r="4" ht="44" customHeight="1">
      <c r="A4" t="inlineStr">
        <is>
          <t>JP-006</t>
        </is>
      </c>
      <c r="B4" t="inlineStr">
        <is>
          <t>Tokio</t>
        </is>
      </c>
      <c r="C4" t="inlineStr">
        <is>
          <t>Nezu Museum</t>
        </is>
      </c>
      <c r="D4" t="inlineStr">
        <is>
          <t>Semi-hidden</t>
        </is>
      </c>
      <c r="F4" t="inlineStr">
        <is>
          <t>A</t>
        </is>
      </c>
      <c r="G4" t="inlineStr">
        <is>
          <t>Colección refinada y uno de los jardines museísticos más bellos de la ciudad.</t>
        </is>
      </c>
      <c r="H4" t="inlineStr">
        <is>
          <t>Medio</t>
        </is>
      </c>
      <c r="I4" t="inlineStr">
        <is>
          <t>https://www.nezu-muse.or.jp/en/</t>
        </is>
      </c>
    </row>
    <row r="5" ht="44" customHeight="1">
      <c r="A5" t="inlineStr">
        <is>
          <t>JP-007</t>
        </is>
      </c>
      <c r="B5" t="inlineStr">
        <is>
          <t>Tokio</t>
        </is>
      </c>
      <c r="C5" t="inlineStr">
        <is>
          <t>Ota Memorial Museum of Art</t>
        </is>
      </c>
      <c r="D5" t="inlineStr">
        <is>
          <t>Hidden Gem real</t>
        </is>
      </c>
      <c r="F5" t="inlineStr">
        <is>
          <t>A</t>
        </is>
      </c>
      <c r="G5" t="inlineStr">
        <is>
          <t>Pequeño, especializado y excelente para comprender el ukiyo-e sin invertir medio día.</t>
        </is>
      </c>
      <c r="H5" t="inlineStr">
        <is>
          <t>Bajo</t>
        </is>
      </c>
      <c r="I5" t="inlineStr">
        <is>
          <t>http://www.ukiyoe-ota-muse.jp/eng</t>
        </is>
      </c>
    </row>
    <row r="6" ht="44" customHeight="1">
      <c r="A6" t="inlineStr">
        <is>
          <t>JP-009</t>
        </is>
      </c>
      <c r="B6" t="inlineStr">
        <is>
          <t>Tokio</t>
        </is>
      </c>
      <c r="C6" t="inlineStr">
        <is>
          <t>Daikanyama T-SITE</t>
        </is>
      </c>
      <c r="D6" t="inlineStr">
        <is>
          <t>Semi-hidden</t>
        </is>
      </c>
      <c r="F6" t="inlineStr">
        <is>
          <t>A</t>
        </is>
      </c>
      <c r="G6" t="inlineStr">
        <is>
          <t>Gran pausa de diseño, libros y café fuera de los circuitos más ruidosos.</t>
        </is>
      </c>
      <c r="H6" t="inlineStr">
        <is>
          <t>Medio</t>
        </is>
      </c>
      <c r="I6" t="inlineStr">
        <is>
          <t>https://store.tsite.jp/daikanyama/english/</t>
        </is>
      </c>
    </row>
    <row r="7" ht="44" customHeight="1">
      <c r="A7" t="inlineStr">
        <is>
          <t>JP-011</t>
        </is>
      </c>
      <c r="B7" t="inlineStr">
        <is>
          <t>Tokio</t>
        </is>
      </c>
      <c r="C7" t="inlineStr">
        <is>
          <t>Tokyo Metropolitan Government Observatory</t>
        </is>
      </c>
      <c r="D7" t="inlineStr">
        <is>
          <t>Alternativa menos saturada</t>
        </is>
      </c>
      <c r="E7" t="inlineStr">
        <is>
          <t>SHIBUYA SKY</t>
        </is>
      </c>
      <c r="F7" t="inlineStr">
        <is>
          <t>A</t>
        </is>
      </c>
      <c r="G7" t="inlineStr">
        <is>
          <t>La mejor vista gratuita de la ciudad y excelente respaldo si otros miradores se agotan.</t>
        </is>
      </c>
      <c r="H7" t="inlineStr">
        <is>
          <t>Alto</t>
        </is>
      </c>
      <c r="I7" t="inlineStr">
        <is>
          <t>https://www.yokoso.metro.tokyo.lg.jp/en/tenbou/</t>
        </is>
      </c>
    </row>
    <row r="8" ht="44" customHeight="1">
      <c r="A8" t="inlineStr">
        <is>
          <t>JP-015</t>
        </is>
      </c>
      <c r="B8" t="inlineStr">
        <is>
          <t>Tokio</t>
        </is>
      </c>
      <c r="C8" t="inlineStr">
        <is>
          <t>Kagurazaka backstreets</t>
        </is>
      </c>
      <c r="D8" t="inlineStr">
        <is>
          <t>Semi-hidden</t>
        </is>
      </c>
      <c r="F8" t="inlineStr">
        <is>
          <t>A</t>
        </is>
      </c>
      <c r="G8" t="inlineStr">
        <is>
          <t>Alternativa elegante y menos obvia a los barrios tradicionales más saturados.</t>
        </is>
      </c>
      <c r="H8" t="inlineStr">
        <is>
          <t>Medio</t>
        </is>
      </c>
      <c r="I8" t="inlineStr">
        <is>
          <t>https://www.gotokyo.org/en/index.html</t>
        </is>
      </c>
    </row>
    <row r="9" ht="44" customHeight="1">
      <c r="A9" t="inlineStr">
        <is>
          <t>JP-017</t>
        </is>
      </c>
      <c r="B9" t="inlineStr">
        <is>
          <t>Tokio</t>
        </is>
      </c>
      <c r="C9" t="inlineStr">
        <is>
          <t>Asakusa Culture Tourist Information Center</t>
        </is>
      </c>
      <c r="D9" t="inlineStr">
        <is>
          <t>Hidden Gem real</t>
        </is>
      </c>
      <c r="F9" t="inlineStr">
        <is>
          <t>A</t>
        </is>
      </c>
      <c r="G9" t="inlineStr">
        <is>
          <t>Vista gratuita y perfectamente situada sobre Kaminarimon y Nakamise.</t>
        </is>
      </c>
      <c r="H9" t="inlineStr">
        <is>
          <t>Medio</t>
        </is>
      </c>
      <c r="I9" t="inlineStr">
        <is>
          <t>https://www.city.taito.lg.jp/bunka_kanko/kankoinfo/info/oyakudachi/kankocenter/a-tic-gaiyo.html</t>
        </is>
      </c>
    </row>
    <row r="10" ht="44" customHeight="1">
      <c r="A10" t="inlineStr">
        <is>
          <t>JP-018</t>
        </is>
      </c>
      <c r="B10" t="inlineStr">
        <is>
          <t>Tokio</t>
        </is>
      </c>
      <c r="C10" t="inlineStr">
        <is>
          <t>Kappabashi Kitchen Town</t>
        </is>
      </c>
      <c r="D10" t="inlineStr">
        <is>
          <t>Semi-hidden</t>
        </is>
      </c>
      <c r="F10" t="inlineStr">
        <is>
          <t>A</t>
        </is>
      </c>
      <c r="G10" t="inlineStr">
        <is>
          <t>Especialización real y objetos japoneses útiles, no solo recuerdos genéricos.</t>
        </is>
      </c>
      <c r="H10" t="inlineStr">
        <is>
          <t>Medio</t>
        </is>
      </c>
      <c r="I10" t="inlineStr">
        <is>
          <t>https://www.kappabashi.or.jp/en/</t>
        </is>
      </c>
    </row>
    <row r="11" ht="44" customHeight="1">
      <c r="A11" t="inlineStr">
        <is>
          <t>JP-020</t>
        </is>
      </c>
      <c r="B11" t="inlineStr">
        <is>
          <t>Tokio</t>
        </is>
      </c>
      <c r="C11" t="inlineStr">
        <is>
          <t>The Sumida Hokusai Museum</t>
        </is>
      </c>
      <c r="D11" t="inlineStr">
        <is>
          <t>Hidden Gem real</t>
        </is>
      </c>
      <c r="F11" t="inlineStr">
        <is>
          <t>A</t>
        </is>
      </c>
      <c r="G11" t="inlineStr">
        <is>
          <t>Museo especializado con gran arquitectura y relación directa con el barrio natal de Hokusai.</t>
        </is>
      </c>
      <c r="H11" t="inlineStr">
        <is>
          <t>Bajo</t>
        </is>
      </c>
      <c r="I11" t="inlineStr">
        <is>
          <t>https://hokusai-museum.jp/?lang=en</t>
        </is>
      </c>
    </row>
    <row r="12" ht="44" customHeight="1">
      <c r="A12" t="inlineStr">
        <is>
          <t>JP-023</t>
        </is>
      </c>
      <c r="B12" t="inlineStr">
        <is>
          <t>Tokio</t>
        </is>
      </c>
      <c r="C12" t="inlineStr">
        <is>
          <t>Yanaka Ginza and cemetery lanes</t>
        </is>
      </c>
      <c r="D12" t="inlineStr">
        <is>
          <t>Semi-hidden</t>
        </is>
      </c>
      <c r="F12" t="inlineStr">
        <is>
          <t>A</t>
        </is>
      </c>
      <c r="G12" t="inlineStr">
        <is>
          <t>Shitamachi tranquilo, vivido y fotogénico sin parecer un decorado.</t>
        </is>
      </c>
      <c r="H12" t="inlineStr">
        <is>
          <t>Medio</t>
        </is>
      </c>
      <c r="I12" t="inlineStr">
        <is>
          <t>https://www.gotokyo.org/en/index.html</t>
        </is>
      </c>
    </row>
    <row r="13" ht="44" customHeight="1">
      <c r="A13" t="inlineStr">
        <is>
          <t>JP-024</t>
        </is>
      </c>
      <c r="B13" t="inlineStr">
        <is>
          <t>Tokio</t>
        </is>
      </c>
      <c r="C13" t="inlineStr">
        <is>
          <t>Nezu Shrine</t>
        </is>
      </c>
      <c r="D13" t="inlineStr">
        <is>
          <t>Alternativa menos saturada</t>
        </is>
      </c>
      <c r="E13" t="inlineStr">
        <is>
          <t>Fushimi Inari (escala mucho menor)</t>
        </is>
      </c>
      <c r="F13" t="inlineStr">
        <is>
          <t>A</t>
        </is>
      </c>
      <c r="G13" t="inlineStr">
        <is>
          <t>Santuario histórico con túnel de torii y azaleas, mucho menos saturado que Fushimi Inari.</t>
        </is>
      </c>
      <c r="H13" t="inlineStr">
        <is>
          <t>Medio</t>
        </is>
      </c>
      <c r="I13" t="inlineStr">
        <is>
          <t>https://www.nedujinja.or.jp/</t>
        </is>
      </c>
    </row>
    <row r="14" ht="44" customHeight="1">
      <c r="A14" t="inlineStr">
        <is>
          <t>JP-027</t>
        </is>
      </c>
      <c r="B14" t="inlineStr">
        <is>
          <t>Tokio</t>
        </is>
      </c>
      <c r="C14" t="inlineStr">
        <is>
          <t>Kanda Myojin</t>
        </is>
      </c>
      <c r="D14" t="inlineStr">
        <is>
          <t>Semi-hidden</t>
        </is>
      </c>
      <c r="F14" t="inlineStr">
        <is>
          <t>A</t>
        </is>
      </c>
      <c r="G14" t="inlineStr">
        <is>
          <t>Puente convincente entre tradición, negocios y cultura anime.</t>
        </is>
      </c>
      <c r="H14" t="inlineStr">
        <is>
          <t>Medio</t>
        </is>
      </c>
      <c r="I14" t="inlineStr">
        <is>
          <t>https://www.kandamyoujin.or.jp/english/</t>
        </is>
      </c>
    </row>
    <row r="15" ht="44" customHeight="1">
      <c r="A15" t="inlineStr">
        <is>
          <t>JP-028</t>
        </is>
      </c>
      <c r="B15" t="inlineStr">
        <is>
          <t>Tokio</t>
        </is>
      </c>
      <c r="C15" t="inlineStr">
        <is>
          <t>Jimbocho Book Town</t>
        </is>
      </c>
      <c r="D15" t="inlineStr">
        <is>
          <t>Hidden Gem real</t>
        </is>
      </c>
      <c r="F15" t="inlineStr">
        <is>
          <t>A</t>
        </is>
      </c>
      <c r="G15" t="inlineStr">
        <is>
          <t>Especialización y atmósfera intelectual difíciles de encontrar en otra megaciudad.</t>
        </is>
      </c>
      <c r="H15" t="inlineStr">
        <is>
          <t>Bajo</t>
        </is>
      </c>
      <c r="I15" t="inlineStr">
        <is>
          <t>https://www.gotokyo.org/en/index.html</t>
        </is>
      </c>
    </row>
    <row r="16" ht="44" customHeight="1">
      <c r="A16" t="inlineStr">
        <is>
          <t>JP-029</t>
        </is>
      </c>
      <c r="B16" t="inlineStr">
        <is>
          <t>Tokio</t>
        </is>
      </c>
      <c r="C16" t="inlineStr">
        <is>
          <t>Imperial Palace East Gardens</t>
        </is>
      </c>
      <c r="D16" t="inlineStr">
        <is>
          <t>Lugar conocido pero excelente</t>
        </is>
      </c>
      <c r="F16" t="inlineStr">
        <is>
          <t>A</t>
        </is>
      </c>
      <c r="G16" t="inlineStr">
        <is>
          <t>Paisaje, murallas y vacío urbano de gran escala sin costo.</t>
        </is>
      </c>
      <c r="H16" t="inlineStr">
        <is>
          <t>Medio</t>
        </is>
      </c>
      <c r="I16" t="inlineStr">
        <is>
          <t>https://www.kunaicho.go.jp/e-event/higashigyoen.html</t>
        </is>
      </c>
    </row>
    <row r="17" ht="44" customHeight="1">
      <c r="A17" t="inlineStr">
        <is>
          <t>JP-031</t>
        </is>
      </c>
      <c r="B17" t="inlineStr">
        <is>
          <t>Tokio</t>
        </is>
      </c>
      <c r="C17" t="inlineStr">
        <is>
          <t>Hama-rikyu Gardens</t>
        </is>
      </c>
      <c r="D17" t="inlineStr">
        <is>
          <t>Semi-hidden</t>
        </is>
      </c>
      <c r="F17" t="inlineStr">
        <is>
          <t>A</t>
        </is>
      </c>
      <c r="G17" t="inlineStr">
        <is>
          <t>Uno de los mejores contrastes entre jardín feudal, agua salada y rascacielos.</t>
        </is>
      </c>
      <c r="H17" t="inlineStr">
        <is>
          <t>Medio</t>
        </is>
      </c>
      <c r="I17" t="inlineStr">
        <is>
          <t>https://www.tokyo-park.or.jp/park/hama-rikyu/</t>
        </is>
      </c>
    </row>
    <row r="18" ht="44" customHeight="1">
      <c r="A18" t="inlineStr">
        <is>
          <t>JP-035</t>
        </is>
      </c>
      <c r="B18" t="inlineStr">
        <is>
          <t>Tokio</t>
        </is>
      </c>
      <c r="C18" t="inlineStr">
        <is>
          <t>The National Art Center, Tokyo</t>
        </is>
      </c>
      <c r="D18" t="inlineStr">
        <is>
          <t>Lugar conocido pero excelente</t>
        </is>
      </c>
      <c r="F18" t="inlineStr">
        <is>
          <t>A</t>
        </is>
      </c>
      <c r="G18" t="inlineStr">
        <is>
          <t>Edificio extraordinario y exposiciones temporales de alto nivel; no tiene colección permanente.</t>
        </is>
      </c>
      <c r="H18" t="inlineStr">
        <is>
          <t>Medio</t>
        </is>
      </c>
      <c r="I18" t="inlineStr">
        <is>
          <t>https://www.nact.jp/english/</t>
        </is>
      </c>
    </row>
    <row r="19" ht="44" customHeight="1">
      <c r="A19" t="inlineStr">
        <is>
          <t>JP-036</t>
        </is>
      </c>
      <c r="B19" t="inlineStr">
        <is>
          <t>Tokio</t>
        </is>
      </c>
      <c r="C19" t="inlineStr">
        <is>
          <t>21_21 DESIGN SIGHT</t>
        </is>
      </c>
      <c r="D19" t="inlineStr">
        <is>
          <t>Hidden Gem real</t>
        </is>
      </c>
      <c r="F19" t="inlineStr">
        <is>
          <t>A</t>
        </is>
      </c>
      <c r="G19" t="inlineStr">
        <is>
          <t>Pequeña pero conceptualmente fuerte; ideal para amantes de diseño.</t>
        </is>
      </c>
      <c r="H19" t="inlineStr">
        <is>
          <t>Bajo</t>
        </is>
      </c>
      <c r="I19" t="inlineStr">
        <is>
          <t>https://www.2121designsight.jp/en/</t>
        </is>
      </c>
    </row>
    <row r="20" ht="44" customHeight="1">
      <c r="A20" t="inlineStr">
        <is>
          <t>JP-037</t>
        </is>
      </c>
      <c r="B20" t="inlineStr">
        <is>
          <t>Tokio</t>
        </is>
      </c>
      <c r="C20" t="inlineStr">
        <is>
          <t>Zōjō-ji + Tokyo Tower view</t>
        </is>
      </c>
      <c r="D20" t="inlineStr">
        <is>
          <t>Alternativa menos saturada</t>
        </is>
      </c>
      <c r="E20" t="inlineStr">
        <is>
          <t>Subir a Tokyo Tower</t>
        </is>
      </c>
      <c r="F20" t="inlineStr">
        <is>
          <t>A</t>
        </is>
      </c>
      <c r="G20" t="inlineStr">
        <is>
          <t>Una de las composiciones visuales más claras entre Edo y Tokio moderno.</t>
        </is>
      </c>
      <c r="H20" t="inlineStr">
        <is>
          <t>Alto</t>
        </is>
      </c>
      <c r="I20" t="inlineStr">
        <is>
          <t>https://www.zojoji.or.jp/en/</t>
        </is>
      </c>
    </row>
    <row r="21" ht="44" customHeight="1">
      <c r="A21" t="inlineStr">
        <is>
          <t>JP-040</t>
        </is>
      </c>
      <c r="B21" t="inlineStr">
        <is>
          <t>Tokio</t>
        </is>
      </c>
      <c r="C21" t="inlineStr">
        <is>
          <t>Miraikan</t>
        </is>
      </c>
      <c r="D21" t="inlineStr">
        <is>
          <t>Lugar conocido pero excelente</t>
        </is>
      </c>
      <c r="F21" t="inlineStr">
        <is>
          <t>A</t>
        </is>
      </c>
      <c r="G21" t="inlineStr">
        <is>
          <t>El mejor museo general de ciencia y futuro para conectar robótica, espacio y sociedad.</t>
        </is>
      </c>
      <c r="H21" t="inlineStr">
        <is>
          <t>Medio</t>
        </is>
      </c>
      <c r="I21" t="inlineStr">
        <is>
          <t>https://www.miraikan.jst.go.jp/en/</t>
        </is>
      </c>
    </row>
    <row r="22" ht="44" customHeight="1">
      <c r="A22" t="inlineStr">
        <is>
          <t>JP-043</t>
        </is>
      </c>
      <c r="B22" t="inlineStr">
        <is>
          <t>Tokio</t>
        </is>
      </c>
      <c r="C22" t="inlineStr">
        <is>
          <t>SMALL WORLDS Miniature Museum</t>
        </is>
      </c>
      <c r="D22" t="inlineStr">
        <is>
          <t>Semi-hidden</t>
        </is>
      </c>
      <c r="F22" t="inlineStr">
        <is>
          <t>A</t>
        </is>
      </c>
      <c r="G22" t="inlineStr">
        <is>
          <t>Muy visual, detallado y diferente de los grandes museos convencionales.</t>
        </is>
      </c>
      <c r="H22" t="inlineStr">
        <is>
          <t>Medio</t>
        </is>
      </c>
      <c r="I22" t="inlineStr">
        <is>
          <t>https://smallworlds.jp/en/</t>
        </is>
      </c>
    </row>
    <row r="23" ht="44" customHeight="1">
      <c r="A23" t="inlineStr">
        <is>
          <t>JP-045</t>
        </is>
      </c>
      <c r="B23" t="inlineStr">
        <is>
          <t>Tokio</t>
        </is>
      </c>
      <c r="C23" t="inlineStr">
        <is>
          <t>Kichijoji + Inokashira Park</t>
        </is>
      </c>
      <c r="D23" t="inlineStr">
        <is>
          <t>Semi-hidden</t>
        </is>
      </c>
      <c r="F23" t="inlineStr">
        <is>
          <t>A</t>
        </is>
      </c>
      <c r="G23" t="inlineStr">
        <is>
          <t>Uno de los barrios con mejor equilibrio entre vida local, comida, tiendas y naturaleza.</t>
        </is>
      </c>
      <c r="H23" t="inlineStr">
        <is>
          <t>Alto</t>
        </is>
      </c>
      <c r="I23" t="inlineStr">
        <is>
          <t>https://www.gotokyo.org/en/index.html</t>
        </is>
      </c>
    </row>
    <row r="24" ht="44" customHeight="1">
      <c r="A24" t="inlineStr">
        <is>
          <t>JP-046</t>
        </is>
      </c>
      <c r="B24" t="inlineStr">
        <is>
          <t>Tokio</t>
        </is>
      </c>
      <c r="C24" t="inlineStr">
        <is>
          <t>Nakano Broadway</t>
        </is>
      </c>
      <c r="D24" t="inlineStr">
        <is>
          <t>Alternativa menos saturada</t>
        </is>
      </c>
      <c r="E24" t="inlineStr">
        <is>
          <t>Akihabara</t>
        </is>
      </c>
      <c r="F24" t="inlineStr">
        <is>
          <t>A</t>
        </is>
      </c>
      <c r="G24" t="inlineStr">
        <is>
          <t>Mejor para coleccionismo profundo y rarezas que muchos edificios de Akihabara.</t>
        </is>
      </c>
      <c r="H24" t="inlineStr">
        <is>
          <t>Alto</t>
        </is>
      </c>
      <c r="I24" t="inlineStr">
        <is>
          <t>https://nakano-broadway.com/</t>
        </is>
      </c>
    </row>
    <row r="25" ht="44" customHeight="1">
      <c r="A25" t="inlineStr">
        <is>
          <t>JP-047</t>
        </is>
      </c>
      <c r="B25" t="inlineStr">
        <is>
          <t>Tokio</t>
        </is>
      </c>
      <c r="C25" t="inlineStr">
        <is>
          <t>Edo-Tokyo Open Air Architectural Museum</t>
        </is>
      </c>
      <c r="D25" t="inlineStr">
        <is>
          <t>Hidden Gem real</t>
        </is>
      </c>
      <c r="F25" t="inlineStr">
        <is>
          <t>A</t>
        </is>
      </c>
      <c r="G25" t="inlineStr">
        <is>
          <t>La mejor inmersión arquitectónica en el Tokio desaparecido. Clasificación v2: excelente y muy recomendable, pero no justifica por sí sola adaptar la ruta.</t>
        </is>
      </c>
      <c r="H25" t="inlineStr">
        <is>
          <t>Bajo</t>
        </is>
      </c>
      <c r="I25" t="inlineStr">
        <is>
          <t>https://www.tatemonoen.jp/english/</t>
        </is>
      </c>
    </row>
    <row r="26" ht="44" customHeight="1">
      <c r="A26" t="inlineStr">
        <is>
          <t>JP-048</t>
        </is>
      </c>
      <c r="B26" t="inlineStr">
        <is>
          <t>Tokio</t>
        </is>
      </c>
      <c r="C26" t="inlineStr">
        <is>
          <t>Shimokitazawa</t>
        </is>
      </c>
      <c r="D26" t="inlineStr">
        <is>
          <t>Semi-hidden</t>
        </is>
      </c>
      <c r="F26" t="inlineStr">
        <is>
          <t>A</t>
        </is>
      </c>
      <c r="G26" t="inlineStr">
        <is>
          <t>Cultura independiente, segunda mano y música sin la escala corporativa de Shibuya.</t>
        </is>
      </c>
      <c r="H26" t="inlineStr">
        <is>
          <t>Alto</t>
        </is>
      </c>
      <c r="I26" t="inlineStr">
        <is>
          <t>https://www.gotokyo.org/en/index.html</t>
        </is>
      </c>
    </row>
    <row r="27" ht="44" customHeight="1">
      <c r="A27" t="inlineStr">
        <is>
          <t>JP-049</t>
        </is>
      </c>
      <c r="B27" t="inlineStr">
        <is>
          <t>Tokio</t>
        </is>
      </c>
      <c r="C27" t="inlineStr">
        <is>
          <t>Ikebukuro anime district</t>
        </is>
      </c>
      <c r="D27" t="inlineStr">
        <is>
          <t>Alternativa menos saturada</t>
        </is>
      </c>
      <c r="E27" t="inlineStr">
        <is>
          <t>Akihabara</t>
        </is>
      </c>
      <c r="F27" t="inlineStr">
        <is>
          <t>A</t>
        </is>
      </c>
      <c r="G27" t="inlineStr">
        <is>
          <t>Es la alternativa más completa a Akihabara para fandom femenino, Pokémon y gashapon.</t>
        </is>
      </c>
      <c r="H27" t="inlineStr">
        <is>
          <t>Extremo</t>
        </is>
      </c>
      <c r="I27" t="inlineStr">
        <is>
          <t>https://www.gotokyo.org/en/index.html</t>
        </is>
      </c>
    </row>
    <row r="28" ht="44" customHeight="1">
      <c r="A28" t="inlineStr">
        <is>
          <t>JP-052</t>
        </is>
      </c>
      <c r="B28" t="inlineStr">
        <is>
          <t>Tokio</t>
        </is>
      </c>
      <c r="C28" t="inlineStr">
        <is>
          <t>Mount Mitake and Musashi Mitake Shrine</t>
        </is>
      </c>
      <c r="D28" t="inlineStr">
        <is>
          <t>Semi-hidden</t>
        </is>
      </c>
      <c r="E28" t="inlineStr">
        <is>
          <t>Mount Takao</t>
        </is>
      </c>
      <c r="F28" t="inlineStr">
        <is>
          <t>A</t>
        </is>
      </c>
      <c r="G28" t="inlineStr">
        <is>
          <t>Más espiritual, boscoso y menos internacional que Takao.</t>
        </is>
      </c>
      <c r="H28" t="inlineStr">
        <is>
          <t>Medio</t>
        </is>
      </c>
      <c r="I28" t="inlineStr">
        <is>
          <t>https://www.gotokyo.org/en/index.html</t>
        </is>
      </c>
    </row>
    <row r="29" ht="44" customHeight="1">
      <c r="A29" t="inlineStr">
        <is>
          <t>JP-058</t>
        </is>
      </c>
      <c r="B29" t="inlineStr">
        <is>
          <t>Kioto</t>
        </is>
      </c>
      <c r="C29" t="inlineStr">
        <is>
          <t>Kennin-ji</t>
        </is>
      </c>
      <c r="D29" t="inlineStr">
        <is>
          <t>Semi-hidden</t>
        </is>
      </c>
      <c r="F29" t="inlineStr">
        <is>
          <t>A</t>
        </is>
      </c>
      <c r="G29" t="inlineStr">
        <is>
          <t>Excelente arte y jardines en pleno Gion con menos presión que los iconos mayores.</t>
        </is>
      </c>
      <c r="H29" t="inlineStr">
        <is>
          <t>Medio</t>
        </is>
      </c>
      <c r="I29" t="inlineStr">
        <is>
          <t>https://www.kenninji.jp/english/</t>
        </is>
      </c>
    </row>
    <row r="30" ht="44" customHeight="1">
      <c r="A30" t="inlineStr">
        <is>
          <t>JP-061</t>
        </is>
      </c>
      <c r="B30" t="inlineStr">
        <is>
          <t>Kioto</t>
        </is>
      </c>
      <c r="C30" t="inlineStr">
        <is>
          <t>Murin-an</t>
        </is>
      </c>
      <c r="D30" t="inlineStr">
        <is>
          <t>Hidden Gem real</t>
        </is>
      </c>
      <c r="F30" t="inlineStr">
        <is>
          <t>A</t>
        </is>
      </c>
      <c r="G30" t="inlineStr">
        <is>
          <t>Uno de los jardines más refinados y tranquilos del centro, con control de aforo. Clasificación v2: excelente y muy recomendable, pero no justifica por sí sola adaptar la ruta.</t>
        </is>
      </c>
      <c r="H30" t="inlineStr">
        <is>
          <t>Bajo</t>
        </is>
      </c>
      <c r="I30" t="inlineStr">
        <is>
          <t>https://murin-an.jp/en/</t>
        </is>
      </c>
    </row>
    <row r="31" ht="44" customHeight="1">
      <c r="A31" t="inlineStr">
        <is>
          <t>JP-064</t>
        </is>
      </c>
      <c r="B31" t="inlineStr">
        <is>
          <t>Kioto</t>
        </is>
      </c>
      <c r="C31" t="inlineStr">
        <is>
          <t>Hōnen-in</t>
        </is>
      </c>
      <c r="D31" t="inlineStr">
        <is>
          <t>Hidden Gem real</t>
        </is>
      </c>
      <c r="F31" t="inlineStr">
        <is>
          <t>A</t>
        </is>
      </c>
      <c r="G31" t="inlineStr">
        <is>
          <t>Pequeño, musgoso y genuinamente tranquilo a metros del eje turístico.</t>
        </is>
      </c>
      <c r="H31" t="inlineStr">
        <is>
          <t>Bajo</t>
        </is>
      </c>
      <c r="I31" t="inlineStr">
        <is>
          <t>https://kyoto.travel/en/</t>
        </is>
      </c>
    </row>
    <row r="32" ht="44" customHeight="1">
      <c r="A32" t="inlineStr">
        <is>
          <t>JP-068</t>
        </is>
      </c>
      <c r="B32" t="inlineStr">
        <is>
          <t>Kioto</t>
        </is>
      </c>
      <c r="C32" t="inlineStr">
        <is>
          <t>Fushimi Sake District</t>
        </is>
      </c>
      <c r="D32" t="inlineStr">
        <is>
          <t>Semi-hidden</t>
        </is>
      </c>
      <c r="F32" t="inlineStr">
        <is>
          <t>A</t>
        </is>
      </c>
      <c r="G32" t="inlineStr">
        <is>
          <t>Excelente contrapunto gastronómico y urbano a los templos.</t>
        </is>
      </c>
      <c r="H32" t="inlineStr">
        <is>
          <t>Medio</t>
        </is>
      </c>
      <c r="I32" t="inlineStr">
        <is>
          <t>https://kyoto.travel/en/areas/fushimi/</t>
        </is>
      </c>
    </row>
    <row r="33" ht="44" customHeight="1">
      <c r="A33" t="inlineStr">
        <is>
          <t>JP-069</t>
        </is>
      </c>
      <c r="B33" t="inlineStr">
        <is>
          <t>Kioto</t>
        </is>
      </c>
      <c r="C33" t="inlineStr">
        <is>
          <t>Bishamon-dō</t>
        </is>
      </c>
      <c r="D33" t="inlineStr">
        <is>
          <t>Hidden Gem real</t>
        </is>
      </c>
      <c r="F33" t="inlineStr">
        <is>
          <t>A</t>
        </is>
      </c>
      <c r="G33" t="inlineStr">
        <is>
          <t>Templo estacional excelente con muy poco turismo internacional.</t>
        </is>
      </c>
      <c r="H33" t="inlineStr">
        <is>
          <t>Medio</t>
        </is>
      </c>
      <c r="I33" t="inlineStr">
        <is>
          <t>https://kyoto.travel/en/hidden-gems/yamashina/</t>
        </is>
      </c>
    </row>
    <row r="34" ht="44" customHeight="1">
      <c r="A34" t="inlineStr">
        <is>
          <t>JP-070</t>
        </is>
      </c>
      <c r="B34" t="inlineStr">
        <is>
          <t>Kioto</t>
        </is>
      </c>
      <c r="C34" t="inlineStr">
        <is>
          <t>Yamashina Canal</t>
        </is>
      </c>
      <c r="D34" t="inlineStr">
        <is>
          <t>Hidden Gem real</t>
        </is>
      </c>
      <c r="E34" t="inlineStr">
        <is>
          <t>Philosopher's Path</t>
        </is>
      </c>
      <c r="F34" t="inlineStr">
        <is>
          <t>A</t>
        </is>
      </c>
      <c r="G34" t="inlineStr">
        <is>
          <t>Paseo local sencillo y bello, especialmente en floración.</t>
        </is>
      </c>
      <c r="H34" t="inlineStr">
        <is>
          <t>Bajo</t>
        </is>
      </c>
      <c r="I34" t="inlineStr">
        <is>
          <t>https://kyoto.travel/en/hidden-gems/yamashina/</t>
        </is>
      </c>
    </row>
    <row r="35" ht="44" customHeight="1">
      <c r="A35" t="inlineStr">
        <is>
          <t>JP-073</t>
        </is>
      </c>
      <c r="B35" t="inlineStr">
        <is>
          <t>Kioto</t>
        </is>
      </c>
      <c r="C35" t="inlineStr">
        <is>
          <t>Ōkōchi Sansō Garden</t>
        </is>
      </c>
      <c r="D35" t="inlineStr">
        <is>
          <t>Alternativa menos saturada</t>
        </is>
      </c>
      <c r="E35" t="inlineStr">
        <is>
          <t>Arashiyama Bamboo Grove</t>
        </is>
      </c>
      <c r="F35" t="inlineStr">
        <is>
          <t>A</t>
        </is>
      </c>
      <c r="G35" t="inlineStr">
        <is>
          <t>La mejor recompensa tras el bambusal: vistas, senderos y aforo moderado.</t>
        </is>
      </c>
      <c r="H35" t="inlineStr">
        <is>
          <t>Medio</t>
        </is>
      </c>
      <c r="I35" t="inlineStr">
        <is>
          <t>https://kyoto.travel/en/</t>
        </is>
      </c>
    </row>
    <row r="36" ht="44" customHeight="1">
      <c r="A36" t="inlineStr">
        <is>
          <t>JP-074</t>
        </is>
      </c>
      <c r="B36" t="inlineStr">
        <is>
          <t>Kioto</t>
        </is>
      </c>
      <c r="C36" t="inlineStr">
        <is>
          <t>Giō-ji</t>
        </is>
      </c>
      <c r="D36" t="inlineStr">
        <is>
          <t>Hidden Gem real</t>
        </is>
      </c>
      <c r="F36" t="inlineStr">
        <is>
          <t>A</t>
        </is>
      </c>
      <c r="G36" t="inlineStr">
        <is>
          <t>Uno de los recintos de musgo más íntimos y emocionales de Arashiyama.</t>
        </is>
      </c>
      <c r="H36" t="inlineStr">
        <is>
          <t>Bajo</t>
        </is>
      </c>
      <c r="I36" t="inlineStr">
        <is>
          <t>https://www.giouji.or.jp/en/</t>
        </is>
      </c>
    </row>
    <row r="37" ht="44" customHeight="1">
      <c r="A37" t="inlineStr">
        <is>
          <t>JP-075</t>
        </is>
      </c>
      <c r="B37" t="inlineStr">
        <is>
          <t>Kioto</t>
        </is>
      </c>
      <c r="C37" t="inlineStr">
        <is>
          <t>Otagi Nenbutsu-ji</t>
        </is>
      </c>
      <c r="D37" t="inlineStr">
        <is>
          <t>Hidden Gem real</t>
        </is>
      </c>
      <c r="E37" t="inlineStr">
        <is>
          <t>Templos centrales saturados</t>
        </is>
      </c>
      <c r="F37" t="inlineStr">
        <is>
          <t>A</t>
        </is>
      </c>
      <c r="G37" t="inlineStr">
        <is>
          <t>Más de mil rakan expresivos crean una experiencia artística y espiritual singular. Clasificación v2: excelente y muy recomendable, pero no justifica por sí sola adaptar la ruta.</t>
        </is>
      </c>
      <c r="H37" t="inlineStr">
        <is>
          <t>Bajo</t>
        </is>
      </c>
      <c r="I37" t="inlineStr">
        <is>
          <t>https://www.otagiji.com/</t>
        </is>
      </c>
    </row>
    <row r="38" ht="44" customHeight="1">
      <c r="A38" t="inlineStr">
        <is>
          <t>JP-076</t>
        </is>
      </c>
      <c r="B38" t="inlineStr">
        <is>
          <t>Kioto</t>
        </is>
      </c>
      <c r="C38" t="inlineStr">
        <is>
          <t>Adashino Nenbutsu-ji</t>
        </is>
      </c>
      <c r="D38" t="inlineStr">
        <is>
          <t>Alternativa menos saturada</t>
        </is>
      </c>
      <c r="E38" t="inlineStr">
        <is>
          <t>Arashiyama Bamboo Grove</t>
        </is>
      </c>
      <c r="F38" t="inlineStr">
        <is>
          <t>A</t>
        </is>
      </c>
      <c r="G38" t="inlineStr">
        <is>
          <t>Miles de piedras memoriales y un pequeño bambusal ofrecen una alternativa más profunda.</t>
        </is>
      </c>
      <c r="H38" t="inlineStr">
        <is>
          <t>Medio</t>
        </is>
      </c>
      <c r="I38" t="inlineStr">
        <is>
          <t>http://www.nenbutsuji.jp/</t>
        </is>
      </c>
    </row>
    <row r="39" ht="44" customHeight="1">
      <c r="A39" t="inlineStr">
        <is>
          <t>JP-077</t>
        </is>
      </c>
      <c r="B39" t="inlineStr">
        <is>
          <t>Kioto</t>
        </is>
      </c>
      <c r="C39" t="inlineStr">
        <is>
          <t>Katsura Imperial Villa</t>
        </is>
      </c>
      <c r="D39" t="inlineStr">
        <is>
          <t>Lugar conocido pero excelente</t>
        </is>
      </c>
      <c r="F39" t="inlineStr">
        <is>
          <t>S</t>
        </is>
      </c>
      <c r="G39" t="inlineStr">
        <is>
          <t>Obra maestra absoluta de arquitectura y jardín japonés; exige planificación.</t>
        </is>
      </c>
      <c r="H39" t="inlineStr">
        <is>
          <t>Bajo</t>
        </is>
      </c>
      <c r="I39" t="inlineStr">
        <is>
          <t>https://kyoto-gosho.kunaicho.go.jp/en/katsura-rikyu/visit</t>
        </is>
      </c>
    </row>
    <row r="40" ht="44" customHeight="1">
      <c r="A40" t="inlineStr">
        <is>
          <t>JP-078</t>
        </is>
      </c>
      <c r="B40" t="inlineStr">
        <is>
          <t>Kioto</t>
        </is>
      </c>
      <c r="C40" t="inlineStr">
        <is>
          <t>Saiho-ji (Koke-dera)</t>
        </is>
      </c>
      <c r="D40" t="inlineStr">
        <is>
          <t>Lugar conocido pero excelente</t>
        </is>
      </c>
      <c r="F40" t="inlineStr">
        <is>
          <t>A</t>
        </is>
      </c>
      <c r="G40" t="inlineStr">
        <is>
          <t>Jardín extraordinario con acceso controlado; caro pero sereno.</t>
        </is>
      </c>
      <c r="H40" t="inlineStr">
        <is>
          <t>Bajo</t>
        </is>
      </c>
      <c r="I40" t="inlineStr">
        <is>
          <t>https://saihoji-kokedera.com/en/</t>
        </is>
      </c>
    </row>
    <row r="41" ht="44" customHeight="1">
      <c r="A41" t="inlineStr">
        <is>
          <t>JP-079</t>
        </is>
      </c>
      <c r="B41" t="inlineStr">
        <is>
          <t>Kioto</t>
        </is>
      </c>
      <c r="C41" t="inlineStr">
        <is>
          <t>Kyoto Rakusai Bamboo Park</t>
        </is>
      </c>
      <c r="D41" t="inlineStr">
        <is>
          <t>Alternativa menos saturada</t>
        </is>
      </c>
      <c r="E41" t="inlineStr">
        <is>
          <t>Arashiyama Bamboo Grove</t>
        </is>
      </c>
      <c r="F41" t="inlineStr">
        <is>
          <t>A</t>
        </is>
      </c>
      <c r="G41" t="inlineStr">
        <is>
          <t>Alternativa real con 110 variedades y un paseo de bambú largo y tranquilo.</t>
        </is>
      </c>
      <c r="H41" t="inlineStr">
        <is>
          <t>Bajo</t>
        </is>
      </c>
      <c r="I41" t="inlineStr">
        <is>
          <t>https://kyoto.travel/en/hidden-gems/hidden-gems-of-kyoto-nishikyo/</t>
        </is>
      </c>
    </row>
    <row r="42" ht="44" customHeight="1">
      <c r="A42" t="inlineStr">
        <is>
          <t>JP-082</t>
        </is>
      </c>
      <c r="B42" t="inlineStr">
        <is>
          <t>Kioto</t>
        </is>
      </c>
      <c r="C42" t="inlineStr">
        <is>
          <t>Daitoku-ji subtemples</t>
        </is>
      </c>
      <c r="D42" t="inlineStr">
        <is>
          <t>Hidden Gem real</t>
        </is>
      </c>
      <c r="F42" t="inlineStr">
        <is>
          <t>A</t>
        </is>
      </c>
      <c r="G42" t="inlineStr">
        <is>
          <t>La mejor área para profundizar en jardines zen sin multitudes constantes. Clasificación v2: excelente y muy recomendable, pero no justifica por sí sola adaptar la ruta.</t>
        </is>
      </c>
      <c r="H42" t="inlineStr">
        <is>
          <t>Bajo</t>
        </is>
      </c>
      <c r="I42" t="inlineStr">
        <is>
          <t>https://kyoto.travel/en/</t>
        </is>
      </c>
    </row>
    <row r="43" ht="44" customHeight="1">
      <c r="A43" t="inlineStr">
        <is>
          <t>JP-083</t>
        </is>
      </c>
      <c r="B43" t="inlineStr">
        <is>
          <t>Kioto</t>
        </is>
      </c>
      <c r="C43" t="inlineStr">
        <is>
          <t>Genkō-an</t>
        </is>
      </c>
      <c r="D43" t="inlineStr">
        <is>
          <t>Hidden Gem real</t>
        </is>
      </c>
      <c r="F43" t="inlineStr">
        <is>
          <t>A</t>
        </is>
      </c>
      <c r="G43" t="inlineStr">
        <is>
          <t>Las ventanas circular y cuadrada enmarcan una experiencia visual y filosófica memorable.</t>
        </is>
      </c>
      <c r="H43" t="inlineStr">
        <is>
          <t>Medio</t>
        </is>
      </c>
      <c r="I43" t="inlineStr">
        <is>
          <t>https://kyoto.travel/en/destinations/genko-an-temple/</t>
        </is>
      </c>
    </row>
    <row r="44" ht="44" customHeight="1">
      <c r="A44" t="inlineStr">
        <is>
          <t>JP-084</t>
        </is>
      </c>
      <c r="B44" t="inlineStr">
        <is>
          <t>Kioto</t>
        </is>
      </c>
      <c r="C44" t="inlineStr">
        <is>
          <t>Shisen-dō</t>
        </is>
      </c>
      <c r="D44" t="inlineStr">
        <is>
          <t>Hidden Gem real</t>
        </is>
      </c>
      <c r="F44" t="inlineStr">
        <is>
          <t>A</t>
        </is>
      </c>
      <c r="G44" t="inlineStr">
        <is>
          <t>Jardín íntimo, sonido de shishi-odoshi y baja densidad turística.</t>
        </is>
      </c>
      <c r="H44" t="inlineStr">
        <is>
          <t>Bajo</t>
        </is>
      </c>
      <c r="I44" t="inlineStr">
        <is>
          <t>https://kyoto.travel/en/</t>
        </is>
      </c>
    </row>
    <row r="45" ht="44" customHeight="1">
      <c r="A45" t="inlineStr">
        <is>
          <t>JP-085</t>
        </is>
      </c>
      <c r="B45" t="inlineStr">
        <is>
          <t>Kioto</t>
        </is>
      </c>
      <c r="C45" t="inlineStr">
        <is>
          <t>Kurama-dera to Kibune hike</t>
        </is>
      </c>
      <c r="D45" t="inlineStr">
        <is>
          <t>Lugar conocido pero excelente</t>
        </is>
      </c>
      <c r="F45" t="inlineStr">
        <is>
          <t>A</t>
        </is>
      </c>
      <c r="G45" t="inlineStr">
        <is>
          <t>Une bosque sagrado, montaña y aldeas en una experiencia que no parece ciudad. Clasificación v2: excelente y muy recomendable, pero no justifica por sí sola adaptar la ruta.</t>
        </is>
      </c>
      <c r="H45" t="inlineStr">
        <is>
          <t>Medio</t>
        </is>
      </c>
      <c r="I45" t="inlineStr">
        <is>
          <t>https://kyoto.travel/en/areas/kurama-kibune/</t>
        </is>
      </c>
    </row>
    <row r="46" ht="44" customHeight="1">
      <c r="A46" t="inlineStr">
        <is>
          <t>JP-086</t>
        </is>
      </c>
      <c r="B46" t="inlineStr">
        <is>
          <t>Kioto</t>
        </is>
      </c>
      <c r="C46" t="inlineStr">
        <is>
          <t>Sanzen-in</t>
        </is>
      </c>
      <c r="D46" t="inlineStr">
        <is>
          <t>Semi-hidden</t>
        </is>
      </c>
      <c r="F46" t="inlineStr">
        <is>
          <t>A</t>
        </is>
      </c>
      <c r="G46" t="inlineStr">
        <is>
          <t>El conjunto más convincente de Ohara: musgo, estatuas, interiores y paisaje rural. Clasificación v2: excelente y muy recomendable, pero no justifica por sí sola adaptar la ruta.</t>
        </is>
      </c>
      <c r="H46" t="inlineStr">
        <is>
          <t>Medio</t>
        </is>
      </c>
      <c r="I46" t="inlineStr">
        <is>
          <t>https://kyoto.travel/en/areas/ohara/</t>
        </is>
      </c>
    </row>
    <row r="47" ht="44" customHeight="1">
      <c r="A47" t="inlineStr">
        <is>
          <t>JP-087</t>
        </is>
      </c>
      <c r="B47" t="inlineStr">
        <is>
          <t>Kioto</t>
        </is>
      </c>
      <c r="C47" t="inlineStr">
        <is>
          <t>Hōsen-in</t>
        </is>
      </c>
      <c r="D47" t="inlineStr">
        <is>
          <t>Hidden Gem real</t>
        </is>
      </c>
      <c r="F47" t="inlineStr">
        <is>
          <t>A</t>
        </is>
      </c>
      <c r="G47" t="inlineStr">
        <is>
          <t>Jardín enmarcado desde el tatami con té incluido; íntimo y visual.</t>
        </is>
      </c>
      <c r="H47" t="inlineStr">
        <is>
          <t>Bajo</t>
        </is>
      </c>
      <c r="I47" t="inlineStr">
        <is>
          <t>https://kyoto.travel/en/areas/ohara/</t>
        </is>
      </c>
    </row>
    <row r="48" ht="44" customHeight="1">
      <c r="A48" t="inlineStr">
        <is>
          <t>JP-088</t>
        </is>
      </c>
      <c r="B48" t="inlineStr">
        <is>
          <t>Kioto</t>
        </is>
      </c>
      <c r="C48" t="inlineStr">
        <is>
          <t>Jingo-ji</t>
        </is>
      </c>
      <c r="D48" t="inlineStr">
        <is>
          <t>Semi-hidden</t>
        </is>
      </c>
      <c r="F48" t="inlineStr">
        <is>
          <t>A</t>
        </is>
      </c>
      <c r="G48" t="inlineStr">
        <is>
          <t>Gran paisaje de montaña y escaleras; mejor que muchos templos centrales en otoño.</t>
        </is>
      </c>
      <c r="H48" t="inlineStr">
        <is>
          <t>Medio</t>
        </is>
      </c>
      <c r="I48" t="inlineStr">
        <is>
          <t>https://kyoto.travel/en/areas/takao/</t>
        </is>
      </c>
    </row>
    <row r="49" ht="44" customHeight="1">
      <c r="A49" t="inlineStr">
        <is>
          <t>JP-090</t>
        </is>
      </c>
      <c r="B49" t="inlineStr">
        <is>
          <t>Kioto</t>
        </is>
      </c>
      <c r="C49" t="inlineStr">
        <is>
          <t>Kyoto Imperial Palace</t>
        </is>
      </c>
      <c r="D49" t="inlineStr">
        <is>
          <t>Lugar conocido pero excelente</t>
        </is>
      </c>
      <c r="F49" t="inlineStr">
        <is>
          <t>A</t>
        </is>
      </c>
      <c r="G49" t="inlineStr">
        <is>
          <t>Gran vacío histórico y arquitectura imperial; gratuito y menos saturado.</t>
        </is>
      </c>
      <c r="H49" t="inlineStr">
        <is>
          <t>Medio</t>
        </is>
      </c>
      <c r="I49" t="inlineStr">
        <is>
          <t>https://sankan.kunaicho.go.jp/english/guide/kyoto.html</t>
        </is>
      </c>
    </row>
    <row r="50" ht="44" customHeight="1">
      <c r="A50" t="inlineStr">
        <is>
          <t>JP-092</t>
        </is>
      </c>
      <c r="B50" t="inlineStr">
        <is>
          <t>Kioto</t>
        </is>
      </c>
      <c r="C50" t="inlineStr">
        <is>
          <t>Kyoto International Manga Museum</t>
        </is>
      </c>
      <c r="D50" t="inlineStr">
        <is>
          <t>Lugar conocido pero excelente</t>
        </is>
      </c>
      <c r="F50" t="inlineStr">
        <is>
          <t>A</t>
        </is>
      </c>
      <c r="G50" t="inlineStr">
        <is>
          <t>Gran archivo legible y relajado; más cultural que comercial.</t>
        </is>
      </c>
      <c r="H50" t="inlineStr">
        <is>
          <t>Medio</t>
        </is>
      </c>
      <c r="I50" t="inlineStr">
        <is>
          <t>https://kyotomm.jp/en/</t>
        </is>
      </c>
    </row>
    <row r="51" ht="44" customHeight="1">
      <c r="A51" t="inlineStr">
        <is>
          <t>JP-093</t>
        </is>
      </c>
      <c r="B51" t="inlineStr">
        <is>
          <t>Kioto</t>
        </is>
      </c>
      <c r="C51" t="inlineStr">
        <is>
          <t>Kyoto Railway Museum</t>
        </is>
      </c>
      <c r="D51" t="inlineStr">
        <is>
          <t>Lugar conocido pero excelente</t>
        </is>
      </c>
      <c r="F51" t="inlineStr">
        <is>
          <t>A</t>
        </is>
      </c>
      <c r="G51" t="inlineStr">
        <is>
          <t>Uno de los mejores museos ferroviarios de Japón, con material real y demostraciones. Clasificación v2: excelente y muy recomendable, pero no justifica por sí sola adaptar la ruta.</t>
        </is>
      </c>
      <c r="H51" t="inlineStr">
        <is>
          <t>Alto</t>
        </is>
      </c>
      <c r="I51" t="inlineStr">
        <is>
          <t>https://www.kyotorailwaymuseum.jp/en/</t>
        </is>
      </c>
    </row>
    <row r="52" ht="44" customHeight="1">
      <c r="A52" t="inlineStr">
        <is>
          <t>JP-094</t>
        </is>
      </c>
      <c r="B52" t="inlineStr">
        <is>
          <t>Kioto</t>
        </is>
      </c>
      <c r="C52" t="inlineStr">
        <is>
          <t>Kyoto National Museum</t>
        </is>
      </c>
      <c r="D52" t="inlineStr">
        <is>
          <t>Lugar conocido pero excelente</t>
        </is>
      </c>
      <c r="F52" t="inlineStr">
        <is>
          <t>A</t>
        </is>
      </c>
      <c r="G52" t="inlineStr">
        <is>
          <t>Colecciones y exposiciones esenciales para profundizar en arte japonés.</t>
        </is>
      </c>
      <c r="H52" t="inlineStr">
        <is>
          <t>Medio</t>
        </is>
      </c>
      <c r="I52" t="inlineStr">
        <is>
          <t>https://www.kyohaku.go.jp/eng/</t>
        </is>
      </c>
    </row>
    <row r="53" ht="44" customHeight="1">
      <c r="A53" t="inlineStr">
        <is>
          <t>JP-099</t>
        </is>
      </c>
      <c r="B53" t="inlineStr">
        <is>
          <t>Kioto</t>
        </is>
      </c>
      <c r="C53" t="inlineStr">
        <is>
          <t>Uji tea experience</t>
        </is>
      </c>
      <c r="D53" t="inlineStr">
        <is>
          <t>Lugar conocido pero excelente</t>
        </is>
      </c>
      <c r="F53" t="inlineStr">
        <is>
          <t>A</t>
        </is>
      </c>
      <c r="G53" t="inlineStr">
        <is>
          <t>Prueba el matcha en su contexto productivo y evita reducir Uji a postres virales.</t>
        </is>
      </c>
      <c r="H53" t="inlineStr">
        <is>
          <t>Medio</t>
        </is>
      </c>
      <c r="I53" t="inlineStr">
        <is>
          <t>https://www.kyototourism.org/en/areas/uji/</t>
        </is>
      </c>
    </row>
    <row r="54" ht="44" customHeight="1">
      <c r="A54" t="inlineStr">
        <is>
          <t>JP-102</t>
        </is>
      </c>
      <c r="B54" t="inlineStr">
        <is>
          <t>Kioto</t>
        </is>
      </c>
      <c r="C54" t="inlineStr">
        <is>
          <t>Demachi Masugata Shopping Arcade</t>
        </is>
      </c>
      <c r="D54" t="inlineStr">
        <is>
          <t>Alternativa menos saturada</t>
        </is>
      </c>
      <c r="E54" t="inlineStr">
        <is>
          <t>Nishiki Market</t>
        </is>
      </c>
      <c r="F54" t="inlineStr">
        <is>
          <t>A</t>
        </is>
      </c>
      <c r="G54" t="inlineStr">
        <is>
          <t>Mercado vecinal real y excelente alternativa a Nishiki para observar vida cotidiana.</t>
        </is>
      </c>
      <c r="H54" t="inlineStr">
        <is>
          <t>Bajo</t>
        </is>
      </c>
      <c r="I54" t="inlineStr">
        <is>
          <t>https://kyoto.travel/en/</t>
        </is>
      </c>
    </row>
    <row r="55" ht="44" customHeight="1">
      <c r="A55" t="inlineStr">
        <is>
          <t>JP-105</t>
        </is>
      </c>
      <c r="B55" t="inlineStr">
        <is>
          <t>Osaka</t>
        </is>
      </c>
      <c r="C55" t="inlineStr">
        <is>
          <t>Hozenji Yokocho</t>
        </is>
      </c>
      <c r="D55" t="inlineStr">
        <is>
          <t>Semi-hidden</t>
        </is>
      </c>
      <c r="F55" t="inlineStr">
        <is>
          <t>A</t>
        </is>
      </c>
      <c r="G55" t="inlineStr">
        <is>
          <t>A pocos metros del neón ofrece escala íntima, piedra mojada y gastronomía.</t>
        </is>
      </c>
      <c r="H55" t="inlineStr">
        <is>
          <t>Alto</t>
        </is>
      </c>
      <c r="I55" t="inlineStr">
        <is>
          <t>https://osaka-info.jp/en/</t>
        </is>
      </c>
    </row>
    <row r="56" ht="44" customHeight="1">
      <c r="A56" t="inlineStr">
        <is>
          <t>JP-107</t>
        </is>
      </c>
      <c r="B56" t="inlineStr">
        <is>
          <t>Osaka</t>
        </is>
      </c>
      <c r="C56" t="inlineStr">
        <is>
          <t>Namba Yasaka Shrine</t>
        </is>
      </c>
      <c r="D56" t="inlineStr">
        <is>
          <t>Semi-hidden</t>
        </is>
      </c>
      <c r="F56" t="inlineStr">
        <is>
          <t>B</t>
        </is>
      </c>
      <c r="G56" t="inlineStr">
        <is>
          <t>La cabeza de león es muy fotogénica, pero la visita es corta y ya no es secreta.</t>
        </is>
      </c>
      <c r="H56" t="inlineStr">
        <is>
          <t>Alto</t>
        </is>
      </c>
      <c r="I56" t="inlineStr">
        <is>
          <t>https://nambayasaka.jp/</t>
        </is>
      </c>
    </row>
    <row r="57" ht="44" customHeight="1">
      <c r="A57" t="inlineStr">
        <is>
          <t>JP-108</t>
        </is>
      </c>
      <c r="B57" t="inlineStr">
        <is>
          <t>Osaka</t>
        </is>
      </c>
      <c r="C57" t="inlineStr">
        <is>
          <t>Den Den Town</t>
        </is>
      </c>
      <c r="D57" t="inlineStr">
        <is>
          <t>Alternativa menos saturada</t>
        </is>
      </c>
      <c r="E57" t="inlineStr">
        <is>
          <t>Akihabara</t>
        </is>
      </c>
      <c r="F57" t="inlineStr">
        <is>
          <t>A</t>
        </is>
      </c>
      <c r="G57" t="inlineStr">
        <is>
          <t>Más compacto y menos abrumador que Akihabara, con buenas tiendas retro y hobby.</t>
        </is>
      </c>
      <c r="H57" t="inlineStr">
        <is>
          <t>Alto</t>
        </is>
      </c>
      <c r="I57" t="inlineStr">
        <is>
          <t>https://osaka-info.jp/en/</t>
        </is>
      </c>
    </row>
    <row r="58" ht="44" customHeight="1">
      <c r="A58" t="inlineStr">
        <is>
          <t>JP-113</t>
        </is>
      </c>
      <c r="B58" t="inlineStr">
        <is>
          <t>Osaka</t>
        </is>
      </c>
      <c r="C58" t="inlineStr">
        <is>
          <t>Grand Green Osaka</t>
        </is>
      </c>
      <c r="D58" t="inlineStr">
        <is>
          <t>Lugar conocido pero excelente</t>
        </is>
      </c>
      <c r="F58" t="inlineStr">
        <is>
          <t>A</t>
        </is>
      </c>
      <c r="G58" t="inlineStr">
        <is>
          <t>Nuevo gran espacio público que cambia la experiencia de Umeda.</t>
        </is>
      </c>
      <c r="H58" t="inlineStr">
        <is>
          <t>Alto</t>
        </is>
      </c>
      <c r="I58" t="inlineStr">
        <is>
          <t>https://umekita.com/e_index/</t>
        </is>
      </c>
    </row>
    <row r="59" ht="44" customHeight="1">
      <c r="A59" t="inlineStr">
        <is>
          <t>JP-114</t>
        </is>
      </c>
      <c r="B59" t="inlineStr">
        <is>
          <t>Osaka</t>
        </is>
      </c>
      <c r="C59" t="inlineStr">
        <is>
          <t>Nakanoshima waterfront</t>
        </is>
      </c>
      <c r="D59" t="inlineStr">
        <is>
          <t>Semi-hidden</t>
        </is>
      </c>
      <c r="F59" t="inlineStr">
        <is>
          <t>A</t>
        </is>
      </c>
      <c r="G59" t="inlineStr">
        <is>
          <t>El mejor conjunto de arquitectura, río, museos y cafés de Osaka. Clasificación v2: excelente y muy recomendable, pero no justifica por sí sola adaptar la ruta.</t>
        </is>
      </c>
      <c r="H59" t="inlineStr">
        <is>
          <t>Medio</t>
        </is>
      </c>
      <c r="I59" t="inlineStr">
        <is>
          <t>https://osaka-info.jp/en/</t>
        </is>
      </c>
    </row>
    <row r="60" ht="44" customHeight="1">
      <c r="A60" t="inlineStr">
        <is>
          <t>JP-115</t>
        </is>
      </c>
      <c r="B60" t="inlineStr">
        <is>
          <t>Osaka</t>
        </is>
      </c>
      <c r="C60" t="inlineStr">
        <is>
          <t>Nakanoshima Museum of Art</t>
        </is>
      </c>
      <c r="D60" t="inlineStr">
        <is>
          <t>Lugar conocido pero excelente</t>
        </is>
      </c>
      <c r="F60" t="inlineStr">
        <is>
          <t>A</t>
        </is>
      </c>
      <c r="G60" t="inlineStr">
        <is>
          <t>Arquitectura fuerte y colecciones modernas vinculadas con Osaka.</t>
        </is>
      </c>
      <c r="H60" t="inlineStr">
        <is>
          <t>Medio</t>
        </is>
      </c>
      <c r="I60" t="inlineStr">
        <is>
          <t>https://nakka-art.jp/en/</t>
        </is>
      </c>
    </row>
    <row r="61" ht="44" customHeight="1">
      <c r="A61" t="inlineStr">
        <is>
          <t>JP-116</t>
        </is>
      </c>
      <c r="B61" t="inlineStr">
        <is>
          <t>Osaka</t>
        </is>
      </c>
      <c r="C61" t="inlineStr">
        <is>
          <t>Osaka Museum of Housing and Living</t>
        </is>
      </c>
      <c r="D61" t="inlineStr">
        <is>
          <t>Hidden Gem real</t>
        </is>
      </c>
      <c r="F61" t="inlineStr">
        <is>
          <t>A</t>
        </is>
      </c>
      <c r="G61" t="inlineStr">
        <is>
          <t>Reconstrucción a escala real que explica vida cotidiana mejor que muchos castillos.</t>
        </is>
      </c>
      <c r="H61" t="inlineStr">
        <is>
          <t>Medio</t>
        </is>
      </c>
      <c r="I61" t="inlineStr">
        <is>
          <t>https://www.osaka-angenet.jp/konjyakukan/</t>
        </is>
      </c>
    </row>
    <row r="62" ht="44" customHeight="1">
      <c r="A62" t="inlineStr">
        <is>
          <t>JP-118</t>
        </is>
      </c>
      <c r="B62" t="inlineStr">
        <is>
          <t>Osaka</t>
        </is>
      </c>
      <c r="C62" t="inlineStr">
        <is>
          <t>Osaka Museum of History</t>
        </is>
      </c>
      <c r="D62" t="inlineStr">
        <is>
          <t>Alternativa menos saturada</t>
        </is>
      </c>
      <c r="E62" t="inlineStr">
        <is>
          <t>Interior de Osaka Castle</t>
        </is>
      </c>
      <c r="F62" t="inlineStr">
        <is>
          <t>A</t>
        </is>
      </c>
      <c r="G62" t="inlineStr">
        <is>
          <t>Contextualiza la ciudad y ofrece vistas excelentes del castillo desde arriba.</t>
        </is>
      </c>
      <c r="H62" t="inlineStr">
        <is>
          <t>Bajo</t>
        </is>
      </c>
      <c r="I62" t="inlineStr">
        <is>
          <t>https://www.osakamushis.jp/eng/</t>
        </is>
      </c>
    </row>
    <row r="63" ht="44" customHeight="1">
      <c r="A63" t="inlineStr">
        <is>
          <t>JP-119</t>
        </is>
      </c>
      <c r="B63" t="inlineStr">
        <is>
          <t>Osaka</t>
        </is>
      </c>
      <c r="C63" t="inlineStr">
        <is>
          <t>Shitennō-ji</t>
        </is>
      </c>
      <c r="D63" t="inlineStr">
        <is>
          <t>Semi-hidden</t>
        </is>
      </c>
      <c r="F63" t="inlineStr">
        <is>
          <t>A</t>
        </is>
      </c>
      <c r="G63" t="inlineStr">
        <is>
          <t>Gran templo histórico activo y mucho menos saturado que equivalentes de Kioto.</t>
        </is>
      </c>
      <c r="H63" t="inlineStr">
        <is>
          <t>Medio</t>
        </is>
      </c>
      <c r="I63" t="inlineStr">
        <is>
          <t>https://www.shitennoji.or.jp/en/</t>
        </is>
      </c>
    </row>
    <row r="64" ht="44" customHeight="1">
      <c r="A64" t="inlineStr">
        <is>
          <t>JP-121</t>
        </is>
      </c>
      <c r="B64" t="inlineStr">
        <is>
          <t>Osaka</t>
        </is>
      </c>
      <c r="C64" t="inlineStr">
        <is>
          <t>Expo ’70 Park + Tower of the Sun</t>
        </is>
      </c>
      <c r="D64" t="inlineStr">
        <is>
          <t>Lugar conocido pero excelente</t>
        </is>
      </c>
      <c r="F64" t="inlineStr">
        <is>
          <t>A</t>
        </is>
      </c>
      <c r="G64" t="inlineStr">
        <is>
          <t>La Torre del Sol es una de las obras públicas más extrañas y potentes de Japón. Clasificación v2: excelente y muy recomendable, pero no justifica por sí sola adaptar la ruta.</t>
        </is>
      </c>
      <c r="H64" t="inlineStr">
        <is>
          <t>Medio</t>
        </is>
      </c>
      <c r="I64" t="inlineStr">
        <is>
          <t>https://www.expo70-park.jp/languages/english/</t>
        </is>
      </c>
    </row>
    <row r="65" ht="44" customHeight="1">
      <c r="A65" t="inlineStr">
        <is>
          <t>JP-122</t>
        </is>
      </c>
      <c r="B65" t="inlineStr">
        <is>
          <t>Osaka</t>
        </is>
      </c>
      <c r="C65" t="inlineStr">
        <is>
          <t>Minoh Falls</t>
        </is>
      </c>
      <c r="D65" t="inlineStr">
        <is>
          <t>Lugar conocido pero excelente</t>
        </is>
      </c>
      <c r="F65" t="inlineStr">
        <is>
          <t>A</t>
        </is>
      </c>
      <c r="G65" t="inlineStr">
        <is>
          <t>Escape natural muy accesible con un sendero agradable desde la estación.</t>
        </is>
      </c>
      <c r="H65" t="inlineStr">
        <is>
          <t>Alto</t>
        </is>
      </c>
      <c r="I65" t="inlineStr">
        <is>
          <t>https://osaka-info.jp/en/spot/minoh-park/</t>
        </is>
      </c>
    </row>
    <row r="66" ht="44" customHeight="1">
      <c r="A66" t="inlineStr">
        <is>
          <t>JP-123</t>
        </is>
      </c>
      <c r="B66" t="inlineStr">
        <is>
          <t>Osaka</t>
        </is>
      </c>
      <c r="C66" t="inlineStr">
        <is>
          <t>Church of the Light</t>
        </is>
      </c>
      <c r="D66" t="inlineStr">
        <is>
          <t>Hidden Gem real</t>
        </is>
      </c>
      <c r="F66" t="inlineStr">
        <is>
          <t>B</t>
        </is>
      </c>
      <c r="G66" t="inlineStr">
        <is>
          <t>Obra esencial de Tadao Ando, pero el acceso público es limitado y debe confirmarse. Clasificación v2: recomendable si encaja; su valor depende más de interés, saturación o logística.</t>
        </is>
      </c>
      <c r="H66" t="inlineStr">
        <is>
          <t>Bajo</t>
        </is>
      </c>
      <c r="I66" t="inlineStr">
        <is>
          <t>http://ibaraki-kasugaoka-church.jp/e-index.html</t>
        </is>
      </c>
    </row>
    <row r="67" ht="44" customHeight="1">
      <c r="A67" t="inlineStr">
        <is>
          <t>JP-127</t>
        </is>
      </c>
      <c r="B67" t="inlineStr">
        <is>
          <t>Osaka</t>
        </is>
      </c>
      <c r="C67" t="inlineStr">
        <is>
          <t>Sakai traditional knife experience</t>
        </is>
      </c>
      <c r="D67" t="inlineStr">
        <is>
          <t>Hidden Gem real</t>
        </is>
      </c>
      <c r="F67" t="inlineStr">
        <is>
          <t>A</t>
        </is>
      </c>
      <c r="G67" t="inlineStr">
        <is>
          <t>Experiencia artesanal vinculada a una industria real, no a souvenir genérico.</t>
        </is>
      </c>
      <c r="H67" t="inlineStr">
        <is>
          <t>Bajo</t>
        </is>
      </c>
      <c r="I67" t="inlineStr">
        <is>
          <t>https://www.sakai-tcb.or.jp/en/</t>
        </is>
      </c>
    </row>
    <row r="68" ht="44" customHeight="1">
      <c r="A68" t="inlineStr">
        <is>
          <t>JP-128</t>
        </is>
      </c>
      <c r="B68" t="inlineStr">
        <is>
          <t>Osaka</t>
        </is>
      </c>
      <c r="C68" t="inlineStr">
        <is>
          <t>Kishiwada Castle Hachijin Garden</t>
        </is>
      </c>
      <c r="D68" t="inlineStr">
        <is>
          <t>Hidden Gem real</t>
        </is>
      </c>
      <c r="F68" t="inlineStr">
        <is>
          <t>A</t>
        </is>
      </c>
      <c r="G68" t="inlineStr">
        <is>
          <t>Jardín seco moderno de Mirei Shigemori casi ignorado por turismo internacional.</t>
        </is>
      </c>
      <c r="H68" t="inlineStr">
        <is>
          <t>Bajo</t>
        </is>
      </c>
      <c r="I68" t="inlineStr">
        <is>
          <t>https://osaka-info.jp/en/osaka/basic/hidden-osaka/</t>
        </is>
      </c>
    </row>
    <row r="69" ht="44" customHeight="1">
      <c r="A69" t="inlineStr">
        <is>
          <t>JP-132</t>
        </is>
      </c>
      <c r="B69" t="inlineStr">
        <is>
          <t>Osaka</t>
        </is>
      </c>
      <c r="C69" t="inlineStr">
        <is>
          <t>Isuien Garden</t>
        </is>
      </c>
      <c r="D69" t="inlineStr">
        <is>
          <t>Semi-hidden</t>
        </is>
      </c>
      <c r="F69" t="inlineStr">
        <is>
          <t>A</t>
        </is>
      </c>
      <c r="G69" t="inlineStr">
        <is>
          <t>Jardín refinado con paisaje prestado del monte Wakakusa y menor saturación.</t>
        </is>
      </c>
      <c r="H69" t="inlineStr">
        <is>
          <t>Bajo</t>
        </is>
      </c>
      <c r="I69" t="inlineStr">
        <is>
          <t>https://isuien.or.jp/en/</t>
        </is>
      </c>
    </row>
    <row r="70" ht="44" customHeight="1">
      <c r="A70" t="inlineStr">
        <is>
          <t>JP-133</t>
        </is>
      </c>
      <c r="B70" t="inlineStr">
        <is>
          <t>Osaka</t>
        </is>
      </c>
      <c r="C70" t="inlineStr">
        <is>
          <t>Naramachi</t>
        </is>
      </c>
      <c r="D70" t="inlineStr">
        <is>
          <t>Semi-hidden</t>
        </is>
      </c>
      <c r="F70" t="inlineStr">
        <is>
          <t>A</t>
        </is>
      </c>
      <c r="G70" t="inlineStr">
        <is>
          <t>El mejor lugar para prolongar Nara más allá del parque y ver casas mercantiles.</t>
        </is>
      </c>
      <c r="H70" t="inlineStr">
        <is>
          <t>Medio</t>
        </is>
      </c>
      <c r="I70" t="inlineStr">
        <is>
          <t>https://www.visitnara.jp/</t>
        </is>
      </c>
    </row>
    <row r="71" ht="44" customHeight="1">
      <c r="A71" t="inlineStr">
        <is>
          <t>JP-134</t>
        </is>
      </c>
      <c r="B71" t="inlineStr">
        <is>
          <t>Osaka</t>
        </is>
      </c>
      <c r="C71" t="inlineStr">
        <is>
          <t>Hōryū-ji</t>
        </is>
      </c>
      <c r="D71" t="inlineStr">
        <is>
          <t>Lugar conocido pero excelente</t>
        </is>
      </c>
      <c r="F71" t="inlineStr">
        <is>
          <t>S</t>
        </is>
      </c>
      <c r="G71" t="inlineStr">
        <is>
          <t>Arquitectura de madera del siglo VII y contexto histórico de primer nivel mundial.</t>
        </is>
      </c>
      <c r="H71" t="inlineStr">
        <is>
          <t>Medio</t>
        </is>
      </c>
      <c r="I71" t="inlineStr">
        <is>
          <t>https://www.horyuji.or.jp/en/</t>
        </is>
      </c>
    </row>
    <row r="72" ht="44" customHeight="1">
      <c r="A72" t="inlineStr">
        <is>
          <t>JP-136</t>
        </is>
      </c>
      <c r="B72" t="inlineStr">
        <is>
          <t>Osaka</t>
        </is>
      </c>
      <c r="C72" t="inlineStr">
        <is>
          <t>Kōko-en</t>
        </is>
      </c>
      <c r="D72" t="inlineStr">
        <is>
          <t>Lugar conocido pero excelente</t>
        </is>
      </c>
      <c r="F72" t="inlineStr">
        <is>
          <t>A</t>
        </is>
      </c>
      <c r="G72" t="inlineStr">
        <is>
          <t>Complemento ideal del castillo y mucho más tranquilo que el recinto principal.</t>
        </is>
      </c>
      <c r="H72" t="inlineStr">
        <is>
          <t>Medio</t>
        </is>
      </c>
      <c r="I72" t="inlineStr">
        <is>
          <t>https://www.himeji-machishin.jp/ryokka/kokoen/en/</t>
        </is>
      </c>
    </row>
    <row r="73" ht="44" customHeight="1">
      <c r="A73" t="inlineStr">
        <is>
          <t>JP-137</t>
        </is>
      </c>
      <c r="B73" t="inlineStr">
        <is>
          <t>Osaka</t>
        </is>
      </c>
      <c r="C73" t="inlineStr">
        <is>
          <t>Engyō-ji on Mount Shosha</t>
        </is>
      </c>
      <c r="D73" t="inlineStr">
        <is>
          <t>Semi-hidden</t>
        </is>
      </c>
      <c r="F73" t="inlineStr">
        <is>
          <t>A</t>
        </is>
      </c>
      <c r="G73" t="inlineStr">
        <is>
          <t>Bosque, teleférico y arquitectura monástica crean una experiencia completa y poco saturada. Clasificación v2: excelente y muy recomendable, pero no justifica por sí sola adaptar la ruta.</t>
        </is>
      </c>
      <c r="H73" t="inlineStr">
        <is>
          <t>Medio</t>
        </is>
      </c>
      <c r="I73" t="inlineStr">
        <is>
          <t>https://www.shosha.or.jp/_en/</t>
        </is>
      </c>
    </row>
    <row r="74" ht="44" customHeight="1">
      <c r="A74" t="inlineStr">
        <is>
          <t>JP-139</t>
        </is>
      </c>
      <c r="B74" t="inlineStr">
        <is>
          <t>Osaka</t>
        </is>
      </c>
      <c r="C74" t="inlineStr">
        <is>
          <t>Nunobiki Falls and Herb Gardens</t>
        </is>
      </c>
      <c r="D74" t="inlineStr">
        <is>
          <t>Semi-hidden</t>
        </is>
      </c>
      <c r="F74" t="inlineStr">
        <is>
          <t>A</t>
        </is>
      </c>
      <c r="G74" t="inlineStr">
        <is>
          <t>Una combinación extraordinariamente accesible de montaña, jardín y vistas sobre el puerto.</t>
        </is>
      </c>
      <c r="H74" t="inlineStr">
        <is>
          <t>Medio</t>
        </is>
      </c>
      <c r="I74" t="inlineStr">
        <is>
          <t>https://www.kobeherb.com/en/</t>
        </is>
      </c>
    </row>
    <row r="75" ht="44" customHeight="1">
      <c r="A75" t="inlineStr">
        <is>
          <t>JP-143</t>
        </is>
      </c>
      <c r="B75" t="inlineStr">
        <is>
          <t>Osaka</t>
        </is>
      </c>
      <c r="C75" t="inlineStr">
        <is>
          <t>Koyasan temple stay</t>
        </is>
      </c>
      <c r="D75" t="inlineStr">
        <is>
          <t>Lugar conocido pero excelente</t>
        </is>
      </c>
      <c r="F75" t="inlineStr">
        <is>
          <t>S</t>
        </is>
      </c>
      <c r="G75" t="inlineStr">
        <is>
          <t>Dormir en shukubo, cenar shojin ryori y asistir a oraciones es una experiencia regional definitoria.</t>
        </is>
      </c>
      <c r="H75" t="inlineStr">
        <is>
          <t>Medio</t>
        </is>
      </c>
      <c r="I75" t="inlineStr">
        <is>
          <t>https://www.koyasan.or.jp/english/</t>
        </is>
      </c>
    </row>
    <row r="76" ht="44" customHeight="1">
      <c r="A76" t="inlineStr">
        <is>
          <t>JP-144</t>
        </is>
      </c>
      <c r="B76" t="inlineStr">
        <is>
          <t>Osaka</t>
        </is>
      </c>
      <c r="C76" t="inlineStr">
        <is>
          <t>Okunoin Cemetery</t>
        </is>
      </c>
      <c r="D76" t="inlineStr">
        <is>
          <t>Lugar conocido pero excelente</t>
        </is>
      </c>
      <c r="F76" t="inlineStr">
        <is>
          <t>S</t>
        </is>
      </c>
      <c r="G76" t="inlineStr">
        <is>
          <t>Uno de los paseos espirituales más poderosos de Japón, especialmente al amanecer o anochecer.</t>
        </is>
      </c>
      <c r="H76" t="inlineStr">
        <is>
          <t>Medio</t>
        </is>
      </c>
      <c r="I76" t="inlineStr">
        <is>
          <t>https://www.koyasan.or.jp/english/</t>
        </is>
      </c>
    </row>
    <row r="77" ht="44" customHeight="1">
      <c r="A77" t="inlineStr">
        <is>
          <t>JP-145</t>
        </is>
      </c>
      <c r="B77" t="inlineStr">
        <is>
          <t>Osaka</t>
        </is>
      </c>
      <c r="C77" t="inlineStr">
        <is>
          <t>Kumano Nachi Taisha + Nachi Falls</t>
        </is>
      </c>
      <c r="D77" t="inlineStr">
        <is>
          <t>Lugar conocido pero excelente</t>
        </is>
      </c>
      <c r="F77" t="inlineStr">
        <is>
          <t>S</t>
        </is>
      </c>
      <c r="G77" t="inlineStr">
        <is>
          <t>La composición de pagoda, bosque y cascada es una de las imágenes naturales más potentes del país.</t>
        </is>
      </c>
      <c r="H77" t="inlineStr">
        <is>
          <t>Alto</t>
        </is>
      </c>
      <c r="I77" t="inlineStr">
        <is>
          <t>https://en.visitwakayama.jp/venues/venue_68/</t>
        </is>
      </c>
    </row>
    <row r="78" ht="44" customHeight="1">
      <c r="A78" t="inlineStr">
        <is>
          <t>JP-146</t>
        </is>
      </c>
      <c r="B78" t="inlineStr">
        <is>
          <t>Osaka</t>
        </is>
      </c>
      <c r="C78" t="inlineStr">
        <is>
          <t>Tomogashima</t>
        </is>
      </c>
      <c r="D78" t="inlineStr">
        <is>
          <t>Hidden Gem real</t>
        </is>
      </c>
      <c r="F78" t="inlineStr">
        <is>
          <t>A</t>
        </is>
      </c>
      <c r="G78" t="inlineStr">
        <is>
          <t>Ruinas militares cubiertas por bosque ofrecen una atmósfera legalmente visitable y extraordinaria. Clasificación v2: excelente y muy recomendable, pero no justifica por sí sola adaptar la ruta.</t>
        </is>
      </c>
      <c r="H78" t="inlineStr">
        <is>
          <t>Medio</t>
        </is>
      </c>
      <c r="I78" t="inlineStr">
        <is>
          <t>https://en.visitwakayama.jp/venues/venue_43/</t>
        </is>
      </c>
    </row>
    <row r="79" ht="44" customHeight="1">
      <c r="A79" t="inlineStr">
        <is>
          <t>JP-147</t>
        </is>
      </c>
      <c r="B79" t="inlineStr">
        <is>
          <t>Osaka</t>
        </is>
      </c>
      <c r="C79" t="inlineStr">
        <is>
          <t>Enryaku-ji</t>
        </is>
      </c>
      <c r="D79" t="inlineStr">
        <is>
          <t>Lugar conocido pero excelente</t>
        </is>
      </c>
      <c r="F79" t="inlineStr">
        <is>
          <t>A</t>
        </is>
      </c>
      <c r="G79" t="inlineStr">
        <is>
          <t>Montaña sagrada de enorme influencia histórica con vistas sobre Biwa y Kioto. Clasificación v2: excelente y muy recomendable, pero no justifica por sí sola adaptar la ruta.</t>
        </is>
      </c>
      <c r="H79" t="inlineStr">
        <is>
          <t>Medio</t>
        </is>
      </c>
      <c r="I79" t="inlineStr">
        <is>
          <t>https://www.hieizan.or.jp/_att/english.pdf</t>
        </is>
      </c>
    </row>
    <row r="80" ht="44" customHeight="1">
      <c r="A80" t="inlineStr">
        <is>
          <t>JP-148</t>
        </is>
      </c>
      <c r="B80" t="inlineStr">
        <is>
          <t>Osaka</t>
        </is>
      </c>
      <c r="C80" t="inlineStr">
        <is>
          <t>Hikone Castle</t>
        </is>
      </c>
      <c r="D80" t="inlineStr">
        <is>
          <t>Alternativa menos saturada</t>
        </is>
      </c>
      <c r="E80" t="inlineStr">
        <is>
          <t>Himeji Castle</t>
        </is>
      </c>
      <c r="F80" t="inlineStr">
        <is>
          <t>A</t>
        </is>
      </c>
      <c r="G80" t="inlineStr">
        <is>
          <t>Castillo original y mucho menos saturado que Himeji, con excelente jardín.</t>
        </is>
      </c>
      <c r="H80" t="inlineStr">
        <is>
          <t>Medio</t>
        </is>
      </c>
      <c r="I80" t="inlineStr">
        <is>
          <t>https://visit.hikoneshi.com/en/</t>
        </is>
      </c>
    </row>
    <row r="81" ht="44" customHeight="1">
      <c r="A81" t="inlineStr">
        <is>
          <t>JP-149</t>
        </is>
      </c>
      <c r="B81" t="inlineStr">
        <is>
          <t>Osaka</t>
        </is>
      </c>
      <c r="C81" t="inlineStr">
        <is>
          <t>MIHO Museum</t>
        </is>
      </c>
      <c r="D81" t="inlineStr">
        <is>
          <t>Hidden Gem real</t>
        </is>
      </c>
      <c r="F81" t="inlineStr">
        <is>
          <t>A</t>
        </is>
      </c>
      <c r="G81" t="inlineStr">
        <is>
          <t>La llegada por túnel y puente a la arquitectura de I.M. Pei justifica el viaje. Clasificación v2: excelente y muy recomendable, pero no justifica por sí sola adaptar la ruta.</t>
        </is>
      </c>
      <c r="H81" t="inlineStr">
        <is>
          <t>Bajo</t>
        </is>
      </c>
      <c r="I81" t="inlineStr">
        <is>
          <t>https://www.miho.jp/en/</t>
        </is>
      </c>
    </row>
    <row r="82" ht="44" customHeight="1">
      <c r="A82" t="inlineStr">
        <is>
          <t>JP-151</t>
        </is>
      </c>
      <c r="B82" t="inlineStr">
        <is>
          <t>Osaka</t>
        </is>
      </c>
      <c r="C82" t="inlineStr">
        <is>
          <t>Ine Funaya</t>
        </is>
      </c>
      <c r="D82" t="inlineStr">
        <is>
          <t>Semi-hidden</t>
        </is>
      </c>
      <c r="F82" t="inlineStr">
        <is>
          <t>A</t>
        </is>
      </c>
      <c r="G82" t="inlineStr">
        <is>
          <t>El frente continuo de casas para barcos es un paisaje cultural raro y hermoso. Clasificación v2: excelente y muy recomendable, pero no justifica por sí sola adaptar la ruta.</t>
        </is>
      </c>
      <c r="H82" t="inlineStr">
        <is>
          <t>Medio</t>
        </is>
      </c>
      <c r="I82" t="inlineStr">
        <is>
          <t>https://www.ine-kankou.jp/en</t>
        </is>
      </c>
    </row>
    <row r="83" ht="44" customHeight="1">
      <c r="A83" t="inlineStr">
        <is>
          <t>JP-152</t>
        </is>
      </c>
      <c r="B83" t="inlineStr">
        <is>
          <t>Osaka</t>
        </is>
      </c>
      <c r="C83" t="inlineStr">
        <is>
          <t>Naoshima art island</t>
        </is>
      </c>
      <c r="D83" t="inlineStr">
        <is>
          <t>Lugar conocido pero excelente</t>
        </is>
      </c>
      <c r="F83" t="inlineStr">
        <is>
          <t>S</t>
        </is>
      </c>
      <c r="G83" t="inlineStr">
        <is>
          <t>La fusión de arte, arquitectura y paisaje insular justifica al menos una noche.</t>
        </is>
      </c>
      <c r="H83" t="inlineStr">
        <is>
          <t>Alto</t>
        </is>
      </c>
      <c r="I83" t="inlineStr">
        <is>
          <t>https://benesse-artsite.jp/en/</t>
        </is>
      </c>
    </row>
    <row r="84">
      <c r="A84" t="inlineStr">
        <is>
          <t>JP-155</t>
        </is>
      </c>
      <c r="B84" t="inlineStr">
        <is>
          <t>Okinawa</t>
        </is>
      </c>
      <c r="C84" t="inlineStr">
        <is>
          <t>Tsuboya Yachimun Street</t>
        </is>
      </c>
      <c r="D84" t="inlineStr">
        <is>
          <t>Semi-hidden</t>
        </is>
      </c>
      <c r="F84" t="inlineStr">
        <is>
          <t>A</t>
        </is>
      </c>
      <c r="G84" t="inlineStr">
        <is>
          <t>Cerámica viva, talleres y arquitectura con menor ruido que Kokusai-dori.</t>
        </is>
      </c>
      <c r="H84" t="inlineStr">
        <is>
          <t>Medio</t>
        </is>
      </c>
      <c r="I84" t="inlineStr">
        <is>
          <t>https://visitokinawajapan.com/</t>
        </is>
      </c>
    </row>
    <row r="85">
      <c r="A85" t="inlineStr">
        <is>
          <t>JP-156</t>
        </is>
      </c>
      <c r="B85" t="inlineStr">
        <is>
          <t>Okinawa</t>
        </is>
      </c>
      <c r="C85" t="inlineStr">
        <is>
          <t>Sakaemachi Arcade nightlife</t>
        </is>
      </c>
      <c r="D85" t="inlineStr">
        <is>
          <t>Hidden Gem real</t>
        </is>
      </c>
      <c r="F85" t="inlineStr">
        <is>
          <t>A</t>
        </is>
      </c>
      <c r="G85" t="inlineStr">
        <is>
          <t>El mejor ambiente local nocturno de Naha, lejos de complejos turísticos.</t>
        </is>
      </c>
      <c r="H85" t="inlineStr">
        <is>
          <t>Medio</t>
        </is>
      </c>
      <c r="I85" t="inlineStr">
        <is>
          <t>https://visitokinawajapan.com/</t>
        </is>
      </c>
    </row>
    <row r="86">
      <c r="A86" t="inlineStr">
        <is>
          <t>JP-158</t>
        </is>
      </c>
      <c r="B86" t="inlineStr">
        <is>
          <t>Okinawa</t>
        </is>
      </c>
      <c r="C86" t="inlineStr">
        <is>
          <t>Tamaudun Royal Mausoleum</t>
        </is>
      </c>
      <c r="D86" t="inlineStr">
        <is>
          <t>Semi-hidden</t>
        </is>
      </c>
      <c r="F86" t="inlineStr">
        <is>
          <t>A</t>
        </is>
      </c>
      <c r="G86" t="inlineStr">
        <is>
          <t>Sitio compacto y poderoso para comprender la dinastía Ryukyu.</t>
        </is>
      </c>
      <c r="H86" t="inlineStr">
        <is>
          <t>Bajo</t>
        </is>
      </c>
      <c r="I86" t="inlineStr">
        <is>
          <t>https://visitokinawajapan.com/discover/world-heritage-top/tamaudun/</t>
        </is>
      </c>
    </row>
    <row r="87">
      <c r="A87" t="inlineStr">
        <is>
          <t>JP-159</t>
        </is>
      </c>
      <c r="B87" t="inlineStr">
        <is>
          <t>Okinawa</t>
        </is>
      </c>
      <c r="C87" t="inlineStr">
        <is>
          <t>Kinjo-cho Stone-Paved Road</t>
        </is>
      </c>
      <c r="D87" t="inlineStr">
        <is>
          <t>Hidden Gem real</t>
        </is>
      </c>
      <c r="F87" t="inlineStr">
        <is>
          <t>A</t>
        </is>
      </c>
      <c r="G87" t="inlineStr">
        <is>
          <t>Tramo urbano auténtico que muestra el Shuri residencial y su topografía.</t>
        </is>
      </c>
      <c r="H87" t="inlineStr">
        <is>
          <t>Bajo</t>
        </is>
      </c>
      <c r="I87" t="inlineStr">
        <is>
          <t>https://visitokinawajapan.com/</t>
        </is>
      </c>
    </row>
    <row r="88">
      <c r="A88" t="inlineStr">
        <is>
          <t>JP-160</t>
        </is>
      </c>
      <c r="B88" t="inlineStr">
        <is>
          <t>Okinawa</t>
        </is>
      </c>
      <c r="C88" t="inlineStr">
        <is>
          <t>Shikina-en Royal Garden</t>
        </is>
      </c>
      <c r="D88" t="inlineStr">
        <is>
          <t>Hidden Gem real</t>
        </is>
      </c>
      <c r="F88" t="inlineStr">
        <is>
          <t>A</t>
        </is>
      </c>
      <c r="G88" t="inlineStr">
        <is>
          <t>Paisaje real Ryukyu con arquitectura y agua, mucho menos saturado que Shurijo.</t>
        </is>
      </c>
      <c r="H88" t="inlineStr">
        <is>
          <t>Bajo</t>
        </is>
      </c>
      <c r="I88" t="inlineStr">
        <is>
          <t>https://visitokinawajapan.com/discover/world-heritage-top/shikinaen-royal-garden/</t>
        </is>
      </c>
    </row>
    <row r="89">
      <c r="A89" t="inlineStr">
        <is>
          <t>JP-161</t>
        </is>
      </c>
      <c r="B89" t="inlineStr">
        <is>
          <t>Okinawa</t>
        </is>
      </c>
      <c r="C89" t="inlineStr">
        <is>
          <t>Okinawa Prefectural Museum &amp; Art Museum</t>
        </is>
      </c>
      <c r="D89" t="inlineStr">
        <is>
          <t>Lugar conocido pero excelente</t>
        </is>
      </c>
      <c r="F89" t="inlineStr">
        <is>
          <t>A</t>
        </is>
      </c>
      <c r="G89" t="inlineStr">
        <is>
          <t>La mejor base intelectual para entender geología, guerra, Ryukyu y arte contemporáneo. Clasificación v2: excelente y muy recomendable, pero no justifica por sí sola adaptar la ruta.</t>
        </is>
      </c>
      <c r="H89" t="inlineStr">
        <is>
          <t>Medio</t>
        </is>
      </c>
      <c r="I89" t="inlineStr">
        <is>
          <t>https://okimu.jp/sp/en/</t>
        </is>
      </c>
    </row>
    <row r="90">
      <c r="A90" t="inlineStr">
        <is>
          <t>JP-163</t>
        </is>
      </c>
      <c r="B90" t="inlineStr">
        <is>
          <t>Okinawa</t>
        </is>
      </c>
      <c r="C90" t="inlineStr">
        <is>
          <t>Valley of Gangala</t>
        </is>
      </c>
      <c r="D90" t="inlineStr">
        <is>
          <t>Lugar conocido pero excelente</t>
        </is>
      </c>
      <c r="F90" t="inlineStr">
        <is>
          <t>A</t>
        </is>
      </c>
      <c r="G90" t="inlineStr">
        <is>
          <t>Cueva colapsada, bosque y arqueología humana forman una experiencia muy distinta. Clasificación v2: excelente y muy recomendable, pero no justifica por sí sola adaptar la ruta.</t>
        </is>
      </c>
      <c r="H90" t="inlineStr">
        <is>
          <t>Bajo</t>
        </is>
      </c>
      <c r="I90" t="inlineStr">
        <is>
          <t>https://gangala.com/</t>
        </is>
      </c>
    </row>
    <row r="91">
      <c r="A91" t="inlineStr">
        <is>
          <t>JP-164</t>
        </is>
      </c>
      <c r="B91" t="inlineStr">
        <is>
          <t>Okinawa</t>
        </is>
      </c>
      <c r="C91" t="inlineStr">
        <is>
          <t>Cape Chinen Park</t>
        </is>
      </c>
      <c r="D91" t="inlineStr">
        <is>
          <t>Lugar conocido pero excelente</t>
        </is>
      </c>
      <c r="F91" t="inlineStr">
        <is>
          <t>A</t>
        </is>
      </c>
      <c r="G91" t="inlineStr">
        <is>
          <t>Gran vista gratuita del Pacífico y Kudaka, muy eficiente junto a Sefa Utaki.</t>
        </is>
      </c>
      <c r="H91" t="inlineStr">
        <is>
          <t>Medio</t>
        </is>
      </c>
      <c r="I91" t="inlineStr">
        <is>
          <t>https://visitokinawajapan.com/</t>
        </is>
      </c>
    </row>
    <row r="92">
      <c r="A92" t="inlineStr">
        <is>
          <t>JP-165</t>
        </is>
      </c>
      <c r="B92" t="inlineStr">
        <is>
          <t>Okinawa</t>
        </is>
      </c>
      <c r="C92" t="inlineStr">
        <is>
          <t>Kudaka Island</t>
        </is>
      </c>
      <c r="D92" t="inlineStr">
        <is>
          <t>Hidden Gem real</t>
        </is>
      </c>
      <c r="F92" t="inlineStr">
        <is>
          <t>A</t>
        </is>
      </c>
      <c r="G92" t="inlineStr">
        <is>
          <t>Isla de enorme significado espiritual y vida local; debe visitarse con respeto. Clasificación v2: excelente y muy recomendable, pero no justifica por sí sola adaptar la ruta.</t>
        </is>
      </c>
      <c r="H92" t="inlineStr">
        <is>
          <t>Bajo</t>
        </is>
      </c>
      <c r="I92" t="inlineStr">
        <is>
          <t>https://visitokinawajapan.com/destinations/okinawa-main-island/southern-okinawa-main-island/</t>
        </is>
      </c>
    </row>
    <row r="93">
      <c r="A93" t="inlineStr">
        <is>
          <t>JP-167</t>
        </is>
      </c>
      <c r="B93" t="inlineStr">
        <is>
          <t>Okinawa</t>
        </is>
      </c>
      <c r="C93" t="inlineStr">
        <is>
          <t>Koza music district</t>
        </is>
      </c>
      <c r="D93" t="inlineStr">
        <is>
          <t>Hidden Gem real</t>
        </is>
      </c>
      <c r="F93" t="inlineStr">
        <is>
          <t>A</t>
        </is>
      </c>
      <c r="G93" t="inlineStr">
        <is>
          <t>La mezcla de rock, bases militares y cultura Okinawense produce una noche singular.</t>
        </is>
      </c>
      <c r="H93" t="inlineStr">
        <is>
          <t>Medio</t>
        </is>
      </c>
      <c r="I93" t="inlineStr">
        <is>
          <t>https://visitokinawajapan.com/</t>
        </is>
      </c>
    </row>
    <row r="94">
      <c r="A94" t="inlineStr">
        <is>
          <t>JP-168</t>
        </is>
      </c>
      <c r="B94" t="inlineStr">
        <is>
          <t>Okinawa</t>
        </is>
      </c>
      <c r="C94" t="inlineStr">
        <is>
          <t>Yachimun no Sato</t>
        </is>
      </c>
      <c r="D94" t="inlineStr">
        <is>
          <t>Hidden Gem real</t>
        </is>
      </c>
      <c r="F94" t="inlineStr">
        <is>
          <t>A</t>
        </is>
      </c>
      <c r="G94" t="inlineStr">
        <is>
          <t>El mejor lugar para ver talleres activos y comprar cerámica directamente. Clasificación v2: excelente y muy recomendable, pero no justifica por sí sola adaptar la ruta.</t>
        </is>
      </c>
      <c r="H94" t="inlineStr">
        <is>
          <t>Medio</t>
        </is>
      </c>
      <c r="I94" t="inlineStr">
        <is>
          <t>https://visitokinawajapan.com/</t>
        </is>
      </c>
    </row>
    <row r="95">
      <c r="A95" t="inlineStr">
        <is>
          <t>JP-169</t>
        </is>
      </c>
      <c r="B95" t="inlineStr">
        <is>
          <t>Okinawa</t>
        </is>
      </c>
      <c r="C95" t="inlineStr">
        <is>
          <t>Zakimi Castle Ruins</t>
        </is>
      </c>
      <c r="D95" t="inlineStr">
        <is>
          <t>Semi-hidden</t>
        </is>
      </c>
      <c r="F95" t="inlineStr">
        <is>
          <t>A</t>
        </is>
      </c>
      <c r="G95" t="inlineStr">
        <is>
          <t>Murallas curvas, césped y vistas con poca saturación.</t>
        </is>
      </c>
      <c r="H95" t="inlineStr">
        <is>
          <t>Bajo</t>
        </is>
      </c>
      <c r="I95" t="inlineStr">
        <is>
          <t>https://visitokinawajapan.com/discover/world-heritage-top/zakimi-castle-ruins/</t>
        </is>
      </c>
    </row>
    <row r="96">
      <c r="A96" t="inlineStr">
        <is>
          <t>JP-170</t>
        </is>
      </c>
      <c r="B96" t="inlineStr">
        <is>
          <t>Okinawa</t>
        </is>
      </c>
      <c r="C96" t="inlineStr">
        <is>
          <t>Katsuren Castle Ruins</t>
        </is>
      </c>
      <c r="D96" t="inlineStr">
        <is>
          <t>Lugar conocido pero excelente</t>
        </is>
      </c>
      <c r="F96" t="inlineStr">
        <is>
          <t>A</t>
        </is>
      </c>
      <c r="G96" t="inlineStr">
        <is>
          <t>La posición sobre dos mares y la forma escalonada hacen este gusuku excepcional. Clasificación v2: excelente y muy recomendable, pero no justifica por sí sola adaptar la ruta.</t>
        </is>
      </c>
      <c r="H96" t="inlineStr">
        <is>
          <t>Medio</t>
        </is>
      </c>
      <c r="I96" t="inlineStr">
        <is>
          <t>https://visitokinawajapan.com/discover/world-heritage-top/katsuren-castle-ruins/</t>
        </is>
      </c>
    </row>
    <row r="97">
      <c r="A97" t="inlineStr">
        <is>
          <t>JP-174</t>
        </is>
      </c>
      <c r="B97" t="inlineStr">
        <is>
          <t>Okinawa</t>
        </is>
      </c>
      <c r="C97" t="inlineStr">
        <is>
          <t>Bise Fukugi Tree Road</t>
        </is>
      </c>
      <c r="D97" t="inlineStr">
        <is>
          <t>Semi-hidden</t>
        </is>
      </c>
      <c r="F97" t="inlineStr">
        <is>
          <t>A</t>
        </is>
      </c>
      <c r="G97" t="inlineStr">
        <is>
          <t>Paisaje habitado de setos fukugi, arena y costa con gran valor visual. Clasificación v2: excelente y muy recomendable, pero no justifica por sí sola adaptar la ruta.</t>
        </is>
      </c>
      <c r="H97" t="inlineStr">
        <is>
          <t>Medio</t>
        </is>
      </c>
      <c r="I97" t="inlineStr">
        <is>
          <t>https://visitokinawajapan.com/</t>
        </is>
      </c>
    </row>
    <row r="98">
      <c r="A98" t="inlineStr">
        <is>
          <t>JP-175</t>
        </is>
      </c>
      <c r="B98" t="inlineStr">
        <is>
          <t>Okinawa</t>
        </is>
      </c>
      <c r="C98" t="inlineStr">
        <is>
          <t>Nakijin Castle Ruins</t>
        </is>
      </c>
      <c r="D98" t="inlineStr">
        <is>
          <t>Lugar conocido pero excelente</t>
        </is>
      </c>
      <c r="F98" t="inlineStr">
        <is>
          <t>A</t>
        </is>
      </c>
      <c r="G98" t="inlineStr">
        <is>
          <t>Murallas de piedra sobre bosque y mar forman el gusuku más paisajístico del norte. Clasificación v2: excelente y muy recomendable, pero no justifica por sí sola adaptar la ruta.</t>
        </is>
      </c>
      <c r="H98" t="inlineStr">
        <is>
          <t>Medio</t>
        </is>
      </c>
      <c r="I98" t="inlineStr">
        <is>
          <t>https://visitokinawajapan.com/discover/world-heritage-top/nakijin-castle-ruins/</t>
        </is>
      </c>
    </row>
    <row r="99">
      <c r="A99" t="inlineStr">
        <is>
          <t>JP-179</t>
        </is>
      </c>
      <c r="B99" t="inlineStr">
        <is>
          <t>Okinawa</t>
        </is>
      </c>
      <c r="C99" t="inlineStr">
        <is>
          <t>Yambaru National Park</t>
        </is>
      </c>
      <c r="D99" t="inlineStr">
        <is>
          <t>Lugar conocido pero excelente</t>
        </is>
      </c>
      <c r="F99" t="inlineStr">
        <is>
          <t>S</t>
        </is>
      </c>
      <c r="G99" t="inlineStr">
        <is>
          <t>Bosque subtropical endémico y patrimonio natural mundial: una de las razones reales para ir al norte.</t>
        </is>
      </c>
      <c r="H99" t="inlineStr">
        <is>
          <t>Bajo</t>
        </is>
      </c>
      <c r="I99" t="inlineStr">
        <is>
          <t>https://visitokinawajapan.com/destinations/okinawa-main-island/northern-okinawa-main-island/yanbaru/</t>
        </is>
      </c>
    </row>
    <row r="100">
      <c r="A100" t="inlineStr">
        <is>
          <t>JP-180</t>
        </is>
      </c>
      <c r="B100" t="inlineStr">
        <is>
          <t>Okinawa</t>
        </is>
      </c>
      <c r="C100" t="inlineStr">
        <is>
          <t>Hiji Falls</t>
        </is>
      </c>
      <c r="D100" t="inlineStr">
        <is>
          <t>Semi-hidden</t>
        </is>
      </c>
      <c r="F100" t="inlineStr">
        <is>
          <t>A</t>
        </is>
      </c>
      <c r="G100" t="inlineStr">
        <is>
          <t>El sendero permite entrar al bosque de Yanbaru sin expedición técnica.</t>
        </is>
      </c>
      <c r="H100" t="inlineStr">
        <is>
          <t>Medio</t>
        </is>
      </c>
      <c r="I100" t="inlineStr">
        <is>
          <t>https://visitokinawajapan.com/destinations/okinawa-main-island/northern-okinawa-main-island/yanbaru/</t>
        </is>
      </c>
    </row>
    <row r="101">
      <c r="A101" t="inlineStr">
        <is>
          <t>JP-181</t>
        </is>
      </c>
      <c r="B101" t="inlineStr">
        <is>
          <t>Okinawa</t>
        </is>
      </c>
      <c r="C101" t="inlineStr">
        <is>
          <t>ASMUI Spiritual Hikes</t>
        </is>
      </c>
      <c r="D101" t="inlineStr">
        <is>
          <t>Lugar conocido pero excelente</t>
        </is>
      </c>
      <c r="F101" t="inlineStr">
        <is>
          <t>A</t>
        </is>
      </c>
      <c r="G101" t="inlineStr">
        <is>
          <t>Formaciones de caliza antiquísimas y vistas costeras producen un paisaje casi alienígena. Clasificación v2: excelente y muy recomendable, pero no justifica por sí sola adaptar la ruta.</t>
        </is>
      </c>
      <c r="H101" t="inlineStr">
        <is>
          <t>Medio</t>
        </is>
      </c>
      <c r="I101" t="inlineStr">
        <is>
          <t>https://www.asmui.jp/</t>
        </is>
      </c>
    </row>
    <row r="102">
      <c r="A102" t="inlineStr">
        <is>
          <t>JP-182</t>
        </is>
      </c>
      <c r="B102" t="inlineStr">
        <is>
          <t>Okinawa</t>
        </is>
      </c>
      <c r="C102" t="inlineStr">
        <is>
          <t>Cape Hedo</t>
        </is>
      </c>
      <c r="D102" t="inlineStr">
        <is>
          <t>Lugar conocido pero excelente</t>
        </is>
      </c>
      <c r="F102" t="inlineStr">
        <is>
          <t>A</t>
        </is>
      </c>
      <c r="G102" t="inlineStr">
        <is>
          <t>Final geográfico de la isla principal con acantilados y dos mares.</t>
        </is>
      </c>
      <c r="H102" t="inlineStr">
        <is>
          <t>Medio</t>
        </is>
      </c>
      <c r="I102" t="inlineStr">
        <is>
          <t>https://visitokinawajapan.com/</t>
        </is>
      </c>
    </row>
    <row r="103">
      <c r="A103" t="inlineStr">
        <is>
          <t>JP-183</t>
        </is>
      </c>
      <c r="B103" t="inlineStr">
        <is>
          <t>Okinawa</t>
        </is>
      </c>
      <c r="C103" t="inlineStr">
        <is>
          <t>Gesashi Bay Mangrove Kayak</t>
        </is>
      </c>
      <c r="D103" t="inlineStr">
        <is>
          <t>Hidden Gem real</t>
        </is>
      </c>
      <c r="F103" t="inlineStr">
        <is>
          <t>A</t>
        </is>
      </c>
      <c r="G103" t="inlineStr">
        <is>
          <t>Una de las experiencias ecológicas más completas de la isla principal. Clasificación v2: excelente y muy recomendable, pero no justifica por sí sola adaptar la ruta.</t>
        </is>
      </c>
      <c r="H103" t="inlineStr">
        <is>
          <t>Bajo</t>
        </is>
      </c>
      <c r="I103" t="inlineStr">
        <is>
          <t>https://visitokinawajapan.com/</t>
        </is>
      </c>
    </row>
    <row r="104">
      <c r="A104" t="inlineStr">
        <is>
          <t>JP-184</t>
        </is>
      </c>
      <c r="B104" t="inlineStr">
        <is>
          <t>Okinawa</t>
        </is>
      </c>
      <c r="C104" t="inlineStr">
        <is>
          <t>Zamami Island</t>
        </is>
      </c>
      <c r="D104" t="inlineStr">
        <is>
          <t>Lugar conocido pero excelente</t>
        </is>
      </c>
      <c r="F104" t="inlineStr">
        <is>
          <t>S</t>
        </is>
      </c>
      <c r="G104" t="inlineStr">
        <is>
          <t>Aguas Kerama Blue, arrecife y posibilidad real de dormir en una isla pequeña.</t>
        </is>
      </c>
      <c r="H104" t="inlineStr">
        <is>
          <t>Alto</t>
        </is>
      </c>
      <c r="I104" t="inlineStr">
        <is>
          <t>https://visitokinawajapan.com/destinations/kerama-islands/zamami-island/</t>
        </is>
      </c>
    </row>
    <row r="105">
      <c r="A105" t="inlineStr">
        <is>
          <t>JP-185</t>
        </is>
      </c>
      <c r="B105" t="inlineStr">
        <is>
          <t>Okinawa</t>
        </is>
      </c>
      <c r="C105" t="inlineStr">
        <is>
          <t>Furuzamami Beach</t>
        </is>
      </c>
      <c r="D105" t="inlineStr">
        <is>
          <t>Lugar conocido pero excelente</t>
        </is>
      </c>
      <c r="F105" t="inlineStr">
        <is>
          <t>A</t>
        </is>
      </c>
      <c r="G105" t="inlineStr">
        <is>
          <t>Arrecife accesible, arena blanca y color de agua de primer nivel. Clasificación v2: excelente y muy recomendable, pero no justifica por sí sola adaptar la ruta.</t>
        </is>
      </c>
      <c r="H105" t="inlineStr">
        <is>
          <t>Alto</t>
        </is>
      </c>
      <c r="I105" t="inlineStr">
        <is>
          <t>https://visitokinawajapan.com/</t>
        </is>
      </c>
    </row>
    <row r="106">
      <c r="A106" t="inlineStr">
        <is>
          <t>JP-186</t>
        </is>
      </c>
      <c r="B106" t="inlineStr">
        <is>
          <t>Okinawa</t>
        </is>
      </c>
      <c r="C106" t="inlineStr">
        <is>
          <t>Aka Island</t>
        </is>
      </c>
      <c r="D106" t="inlineStr">
        <is>
          <t>Hidden Gem real</t>
        </is>
      </c>
      <c r="F106" t="inlineStr">
        <is>
          <t>A</t>
        </is>
      </c>
      <c r="G106" t="inlineStr">
        <is>
          <t>Más tranquila que Zamami y excelente para tortugas, bicicleta y ritmo local. Clasificación v2: excelente y muy recomendable, pero no justifica por sí sola adaptar la ruta.</t>
        </is>
      </c>
      <c r="H106" t="inlineStr">
        <is>
          <t>Bajo</t>
        </is>
      </c>
      <c r="I106" t="inlineStr">
        <is>
          <t>https://visitokinawajapan.com/destinations/kerama-islands/aka-island/</t>
        </is>
      </c>
    </row>
    <row r="107">
      <c r="A107" t="inlineStr">
        <is>
          <t>JP-190</t>
        </is>
      </c>
      <c r="B107" t="inlineStr">
        <is>
          <t>Okinawa</t>
        </is>
      </c>
      <c r="C107" t="inlineStr">
        <is>
          <t>Toriike Ponds</t>
        </is>
      </c>
      <c r="D107" t="inlineStr">
        <is>
          <t>Semi-hidden</t>
        </is>
      </c>
      <c r="F107" t="inlineStr">
        <is>
          <t>A</t>
        </is>
      </c>
      <c r="G107" t="inlineStr">
        <is>
          <t>Geología kárstica y conexión submarina crean un paisaje distinto de las playas.</t>
        </is>
      </c>
      <c r="H107" t="inlineStr">
        <is>
          <t>Medio</t>
        </is>
      </c>
      <c r="I107" t="inlineStr">
        <is>
          <t>https://visitokinawajapan.com/</t>
        </is>
      </c>
    </row>
    <row r="108">
      <c r="A108" t="inlineStr">
        <is>
          <t>JP-191</t>
        </is>
      </c>
      <c r="B108" t="inlineStr">
        <is>
          <t>Okinawa</t>
        </is>
      </c>
      <c r="C108" t="inlineStr">
        <is>
          <t>Yabiji coral reef</t>
        </is>
      </c>
      <c r="D108" t="inlineStr">
        <is>
          <t>Lugar conocido pero excelente</t>
        </is>
      </c>
      <c r="F108" t="inlineStr">
        <is>
          <t>A</t>
        </is>
      </c>
      <c r="G108" t="inlineStr">
        <is>
          <t>Uno de los mayores conjuntos de arrecifes de Japón, accesible solo en barco. Clasificación v2: excelente y muy recomendable, pero no justifica por sí sola adaptar la ruta.</t>
        </is>
      </c>
      <c r="H108" t="inlineStr">
        <is>
          <t>Medio</t>
        </is>
      </c>
      <c r="I108" t="inlineStr">
        <is>
          <t>https://visitokinawajapan.com/</t>
        </is>
      </c>
    </row>
    <row r="109">
      <c r="A109" t="inlineStr">
        <is>
          <t>JP-193</t>
        </is>
      </c>
      <c r="B109" t="inlineStr">
        <is>
          <t>Okinawa</t>
        </is>
      </c>
      <c r="C109" t="inlineStr">
        <is>
          <t>Yonehara Beach and coral</t>
        </is>
      </c>
      <c r="D109" t="inlineStr">
        <is>
          <t>Semi-hidden</t>
        </is>
      </c>
      <c r="F109" t="inlineStr">
        <is>
          <t>A</t>
        </is>
      </c>
      <c r="G109" t="inlineStr">
        <is>
          <t>Coral cerca de la costa y buena diversidad, con riesgos que exigen prudencia.</t>
        </is>
      </c>
      <c r="H109" t="inlineStr">
        <is>
          <t>Medio</t>
        </is>
      </c>
      <c r="I109" t="inlineStr">
        <is>
          <t>https://visitokinawajapan.com/</t>
        </is>
      </c>
    </row>
    <row r="110">
      <c r="A110" t="inlineStr">
        <is>
          <t>JP-194</t>
        </is>
      </c>
      <c r="B110" t="inlineStr">
        <is>
          <t>Okinawa</t>
        </is>
      </c>
      <c r="C110" t="inlineStr">
        <is>
          <t>Banna Park</t>
        </is>
      </c>
      <c r="D110" t="inlineStr">
        <is>
          <t>Hidden Gem real</t>
        </is>
      </c>
      <c r="F110" t="inlineStr">
        <is>
          <t>A</t>
        </is>
      </c>
      <c r="G110" t="inlineStr">
        <is>
          <t>Gran base para bosque, aves y vistas sin pagar ni enfrentar multitudes.</t>
        </is>
      </c>
      <c r="H110" t="inlineStr">
        <is>
          <t>Bajo</t>
        </is>
      </c>
      <c r="I110" t="inlineStr">
        <is>
          <t>https://visitokinawajapan.com/</t>
        </is>
      </c>
    </row>
    <row r="111">
      <c r="A111" t="inlineStr">
        <is>
          <t>JP-195</t>
        </is>
      </c>
      <c r="B111" t="inlineStr">
        <is>
          <t>Okinawa</t>
        </is>
      </c>
      <c r="C111" t="inlineStr">
        <is>
          <t>Yaeyama stargazing experience</t>
        </is>
      </c>
      <c r="D111" t="inlineStr">
        <is>
          <t>Hidden Gem real</t>
        </is>
      </c>
      <c r="F111" t="inlineStr">
        <is>
          <t>A</t>
        </is>
      </c>
      <c r="G111" t="inlineStr">
        <is>
          <t>Latitud, baja contaminación lumínica y cultura estelar Yaeyama crean una noche excepcional. Clasificación v2: excelente y muy recomendable, pero no justifica por sí sola adaptar la ruta.</t>
        </is>
      </c>
      <c r="H111" t="inlineStr">
        <is>
          <t>Medio</t>
        </is>
      </c>
      <c r="I111" t="inlineStr">
        <is>
          <t>https://visitokinawajapan.com/</t>
        </is>
      </c>
    </row>
    <row r="112">
      <c r="A112" t="inlineStr">
        <is>
          <t>JP-197</t>
        </is>
      </c>
      <c r="B112" t="inlineStr">
        <is>
          <t>Okinawa</t>
        </is>
      </c>
      <c r="C112" t="inlineStr">
        <is>
          <t>Iriomote mangrove and jungle expedition</t>
        </is>
      </c>
      <c r="D112" t="inlineStr">
        <is>
          <t>Lugar conocido pero excelente</t>
        </is>
      </c>
      <c r="F112" t="inlineStr">
        <is>
          <t>S</t>
        </is>
      </c>
      <c r="G112" t="inlineStr">
        <is>
          <t>La experiencia natural más salvaje y biodiversa de Okinawa.</t>
        </is>
      </c>
      <c r="H112" t="inlineStr">
        <is>
          <t>Bajo</t>
        </is>
      </c>
      <c r="I112" t="inlineStr">
        <is>
          <t>https://visitokinawajapan.com/destinations/yaeyama-islands/iriomote-island/</t>
        </is>
      </c>
    </row>
    <row r="113">
      <c r="A113" t="inlineStr">
        <is>
          <t>JP-198</t>
        </is>
      </c>
      <c r="B113" t="inlineStr">
        <is>
          <t>Okinawa</t>
        </is>
      </c>
      <c r="C113" t="inlineStr">
        <is>
          <t>Pinaisara Falls</t>
        </is>
      </c>
      <c r="D113" t="inlineStr">
        <is>
          <t>Hidden Gem real</t>
        </is>
      </c>
      <c r="F113" t="inlineStr">
        <is>
          <t>A</t>
        </is>
      </c>
      <c r="G113" t="inlineStr">
        <is>
          <t>Cascada emblemática de Iriomote alcanzada mediante manglar y selva. Clasificación v2: excelente y muy recomendable, pero no justifica por sí sola adaptar la ruta.</t>
        </is>
      </c>
      <c r="H113" t="inlineStr">
        <is>
          <t>Bajo</t>
        </is>
      </c>
      <c r="I113" t="inlineStr">
        <is>
          <t>https://visitokinawajapan.com/</t>
        </is>
      </c>
    </row>
    <row r="114">
      <c r="A114" t="inlineStr">
        <is>
          <t>JP-199</t>
        </is>
      </c>
      <c r="B114" t="inlineStr">
        <is>
          <t>Okinawa</t>
        </is>
      </c>
      <c r="C114" t="inlineStr">
        <is>
          <t>Hateruma Island</t>
        </is>
      </c>
      <c r="D114" t="inlineStr">
        <is>
          <t>Hidden Gem real</t>
        </is>
      </c>
      <c r="F114" t="inlineStr">
        <is>
          <t>B</t>
        </is>
      </c>
      <c r="G114" t="inlineStr">
        <is>
          <t>Punto habitado más meridional de Japón, mar intenso y cielo excepcional; ferry inestable. Clasificación v2: recomendable si encaja; su valor depende más de interés, saturación o logística.</t>
        </is>
      </c>
      <c r="H114" t="inlineStr">
        <is>
          <t>Bajo</t>
        </is>
      </c>
      <c r="I114" t="inlineStr">
        <is>
          <t>https://visitokinawajapan.com/</t>
        </is>
      </c>
    </row>
    <row r="115">
      <c r="A115" t="inlineStr">
        <is>
          <t>JP-200</t>
        </is>
      </c>
      <c r="B115" t="inlineStr">
        <is>
          <t>Okinawa</t>
        </is>
      </c>
      <c r="C115" t="inlineStr">
        <is>
          <t>Yonaguni Island and underwater monument dive</t>
        </is>
      </c>
      <c r="D115" t="inlineStr">
        <is>
          <t>Hidden Gem real</t>
        </is>
      </c>
      <c r="F115" t="inlineStr">
        <is>
          <t>A</t>
        </is>
      </c>
      <c r="G115" t="inlineStr">
        <is>
          <t>Una de las experiencias más remotas y peculiares de Japón para buzos experimentados. Clasificación v2: excelente y muy recomendable, pero no justifica por sí sola adaptar la ruta.</t>
        </is>
      </c>
      <c r="H115" t="inlineStr">
        <is>
          <t>Bajo</t>
        </is>
      </c>
      <c r="I115" t="inlineStr">
        <is>
          <t>https://visitokinawajapan.com/</t>
        </is>
      </c>
    </row>
    <row r="116">
      <c r="A116" t="inlineStr">
        <is>
          <t>JP-201</t>
        </is>
      </c>
      <c r="B116" t="inlineStr">
        <is>
          <t>Okinawa</t>
        </is>
      </c>
      <c r="C116" t="inlineStr">
        <is>
          <t>Hatenohama</t>
        </is>
      </c>
      <c r="D116" t="inlineStr">
        <is>
          <t>Semi-hidden</t>
        </is>
      </c>
      <c r="F116" t="inlineStr">
        <is>
          <t>A</t>
        </is>
      </c>
      <c r="G116" t="inlineStr">
        <is>
          <t>Banco de arena aislado rodeado por agua turquesa: una de las imágenes marinas más puras de Okinawa. Clasificación v2: excelente y muy recomendable, pero no justifica por sí sola adaptar la ruta.</t>
        </is>
      </c>
      <c r="H116" t="inlineStr">
        <is>
          <t>Medio</t>
        </is>
      </c>
      <c r="I116" t="inlineStr">
        <is>
          <t>https://visitokinawajapan.com/destinations/kume-island/</t>
        </is>
      </c>
    </row>
    <row r="117">
      <c r="A117" t="inlineStr">
        <is>
          <t>JP-202</t>
        </is>
      </c>
      <c r="B117" t="inlineStr">
        <is>
          <t>Okinawa</t>
        </is>
      </c>
      <c r="C117" t="inlineStr">
        <is>
          <t>Whale watching in the Kerama waters</t>
        </is>
      </c>
      <c r="D117" t="inlineStr">
        <is>
          <t>Semi-hidden</t>
        </is>
      </c>
      <c r="F117" t="inlineStr">
        <is>
          <t>A</t>
        </is>
      </c>
      <c r="G117" t="inlineStr">
        <is>
          <t>Febrero y marzo coinciden con la principal temporada de ballena jorobada en Okinawa. Clasificación v2: excelente y muy recomendable, pero no justifica por sí sola adaptar la ruta.</t>
        </is>
      </c>
      <c r="H117" t="inlineStr">
        <is>
          <t>Alto</t>
        </is>
      </c>
      <c r="I117" t="inlineStr">
        <is>
          <t>https://visitokinawajapan.com/travel-inspiration/whale-watching-in-okinawa/</t>
        </is>
      </c>
    </row>
    <row r="118">
      <c r="A118" t="inlineStr">
        <is>
          <t>JP-206</t>
        </is>
      </c>
      <c r="B118" t="inlineStr">
        <is>
          <t>Sapporo</t>
        </is>
      </c>
      <c r="C118" t="inlineStr">
        <is>
          <t>Otaru Snow Light Path</t>
        </is>
      </c>
      <c r="D118" t="inlineStr">
        <is>
          <t>Semi-hidden</t>
        </is>
      </c>
      <c r="E118" t="inlineStr">
        <is>
          <t>Sapporo Snow Festival</t>
        </is>
      </c>
      <c r="F118" t="inlineStr">
        <is>
          <t>A</t>
        </is>
      </c>
      <c r="G118" t="inlineStr">
        <is>
          <t>Experiencia nocturna invernal muy atmosférica, recomendable si coincide con las fechas.</t>
        </is>
      </c>
      <c r="H118" t="inlineStr">
        <is>
          <t>Alto</t>
        </is>
      </c>
      <c r="I118" t="inlineStr">
        <is>
          <t>https://otaru-yukiakarinomichi.org/</t>
        </is>
      </c>
    </row>
    <row r="119">
      <c r="A119" t="inlineStr">
        <is>
          <t>JP-207</t>
        </is>
      </c>
      <c r="B119" t="inlineStr">
        <is>
          <t>Sapporo</t>
        </is>
      </c>
      <c r="C119" t="inlineStr">
        <is>
          <t>Lake Shikotsu Ice Festival</t>
        </is>
      </c>
      <c r="D119" t="inlineStr">
        <is>
          <t>Semi-hidden</t>
        </is>
      </c>
      <c r="E119" t="inlineStr">
        <is>
          <t>Sapporo Snow Festival</t>
        </is>
      </c>
      <c r="F119" t="inlineStr">
        <is>
          <t>A</t>
        </is>
      </c>
      <c r="G119" t="inlineStr">
        <is>
          <t>Paisaje de hielo iluminado junto a un lago volcánico; buen contraste con Sapporo.</t>
        </is>
      </c>
      <c r="H119" t="inlineStr">
        <is>
          <t>Alto</t>
        </is>
      </c>
      <c r="I119" t="inlineStr">
        <is>
          <t>https://hyoutou-special.asia/</t>
        </is>
      </c>
    </row>
    <row r="120">
      <c r="A120" t="inlineStr">
        <is>
          <t>JP-209</t>
        </is>
      </c>
      <c r="B120" t="inlineStr">
        <is>
          <t>Osaka</t>
        </is>
      </c>
      <c r="C120" t="inlineStr">
        <is>
          <t>Okunoshima (Rabbit Island)</t>
        </is>
      </c>
      <c r="D120" t="inlineStr">
        <is>
          <t>Semi-hidden</t>
        </is>
      </c>
      <c r="F120" t="inlineStr">
        <is>
          <t>B</t>
        </is>
      </c>
      <c r="G120" t="inlineStr">
        <is>
          <t>Recomendable si encaja por el contraste entre naturaleza, conejos e historia bélica.</t>
        </is>
      </c>
      <c r="H120" t="inlineStr">
        <is>
          <t>Medio</t>
        </is>
      </c>
      <c r="I120" t="inlineStr">
        <is>
          <t>https://www.japan.travel/en/spot/871/</t>
        </is>
      </c>
    </row>
    <row r="121">
      <c r="A121" t="inlineStr">
        <is>
          <t>JP-214</t>
        </is>
      </c>
      <c r="B121" t="inlineStr">
        <is>
          <t>Fukuoka</t>
        </is>
      </c>
      <c r="C121" t="inlineStr">
        <is>
          <t>Yanagawa canal cruise</t>
        </is>
      </c>
      <c r="D121" t="inlineStr">
        <is>
          <t>Semi-hidden</t>
        </is>
      </c>
      <c r="F121" t="inlineStr">
        <is>
          <t>B</t>
        </is>
      </c>
      <c r="G121" t="inlineStr">
        <is>
          <t>Experiencia tranquila y distinta, recomendable si encaja desde Fukuoka.</t>
        </is>
      </c>
      <c r="H121" t="inlineStr">
        <is>
          <t>Medio</t>
        </is>
      </c>
      <c r="I121" t="inlineStr">
        <is>
          <t>https://www.crossroadfukuoka.jp/en/articles/yanagawa-kawakudari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4" customWidth="1" min="3" max="3"/>
    <col width="48" customWidth="1" min="4" max="4"/>
    <col width="44" customWidth="1" min="5" max="5"/>
  </cols>
  <sheetData>
    <row r="1" ht="30" customHeight="1">
      <c r="A1" s="15" t="inlineStr">
        <is>
          <t>Grupo redundante</t>
        </is>
      </c>
      <c r="B1" s="15" t="inlineStr">
        <is>
          <t>Si solo uno</t>
        </is>
      </c>
      <c r="C1" s="15" t="inlineStr">
        <is>
          <t>Comparados</t>
        </is>
      </c>
      <c r="D1" s="15" t="inlineStr">
        <is>
          <t>Recomendación</t>
        </is>
      </c>
      <c r="E1" s="15" t="inlineStr">
        <is>
          <t>Regla de redundancia</t>
        </is>
      </c>
    </row>
    <row r="2" ht="44" customHeight="1">
      <c r="A2" s="16" t="inlineStr">
        <is>
          <t>Miradores de Tokio</t>
        </is>
      </c>
      <c r="B2" s="16" t="inlineStr">
        <is>
          <t>SHIBUYA SKY</t>
        </is>
      </c>
      <c r="C2" s="16" t="inlineStr">
        <is>
          <t>Tokyo Skytree; Tokyo City View; Tokyo Metropolitan Government</t>
        </is>
      </c>
      <c r="D2" s="16" t="inlineStr">
        <is>
          <t>Si solo uno: SHIBUYA SKY por azotea y contexto urbano. Skytree gana en altura; TMG en precio.</t>
        </is>
      </c>
      <c r="E2" s="16" t="inlineStr">
        <is>
          <t>Visitar dos puede ser redundante salvo fotografía o clima.</t>
        </is>
      </c>
    </row>
    <row r="3" ht="44" customHeight="1">
      <c r="A3" s="16" t="inlineStr">
        <is>
          <t>teamLab</t>
        </is>
      </c>
      <c r="B3" s="16" t="inlineStr">
        <is>
          <t>teamLab Borderless</t>
        </is>
      </c>
      <c r="C3" s="16" t="inlineStr">
        <is>
          <t>Planets Tokyo; Biovortex Kyoto; Botanical Garden Osaka</t>
        </is>
      </c>
      <c r="D3" s="16" t="inlineStr">
        <is>
          <t>Si solo uno general: Borderless. Si se quiere máxima escala física: Biovortex. Planets es más lineal y acuático.</t>
        </is>
      </c>
      <c r="E3" s="16" t="inlineStr">
        <is>
          <t>Borderless + Planets puede sentirse redundante; combinar interior y Botanical Garden aporta más contraste.</t>
        </is>
      </c>
    </row>
    <row r="4" ht="44" customHeight="1">
      <c r="A4" s="16" t="inlineStr">
        <is>
          <t>Bambú en Kioto</t>
        </is>
      </c>
      <c r="B4" s="16" t="inlineStr">
        <is>
          <t>Rakusai Bamboo Park / Otagi–Adashino</t>
        </is>
      </c>
      <c r="C4" s="16" t="inlineStr">
        <is>
          <t>Arashiyama Bamboo Grove</t>
        </is>
      </c>
      <c r="D4" s="16" t="inlineStr">
        <is>
          <t>Arashiyama funciona como conexión, no como imprescindible aislado. Rakusai gana en calma y botánica.</t>
        </is>
      </c>
      <c r="E4" s="16" t="inlineStr">
        <is>
          <t>No dedicar un viaje solo al bambusal viral.</t>
        </is>
      </c>
    </row>
    <row r="5" ht="44" customHeight="1">
      <c r="A5" s="16" t="inlineStr">
        <is>
          <t>Mercados urbanos</t>
        </is>
      </c>
      <c r="B5" s="16" t="inlineStr">
        <is>
          <t>Makishi Public Market</t>
        </is>
      </c>
      <c r="C5" s="16" t="inlineStr">
        <is>
          <t>Tsukiji; Toyosu; Nishiki; Kuromon</t>
        </is>
      </c>
      <c r="D5" s="16" t="inlineStr">
        <is>
          <t>Makishi ofrece mejor equilibrio entre producto local y experiencia. Toyosu gana en logística real.</t>
        </is>
      </c>
      <c r="E5" s="16" t="inlineStr">
        <is>
          <t>Kuromon y Nishiki son los más sacrificables por saturación.</t>
        </is>
      </c>
    </row>
    <row r="6" ht="44" customHeight="1">
      <c r="A6" s="16" t="inlineStr">
        <is>
          <t>Distritos anime/gaming Tokio</t>
        </is>
      </c>
      <c r="B6" s="16" t="inlineStr">
        <is>
          <t>Akihabara</t>
        </is>
      </c>
      <c r="C6" s="16" t="inlineStr">
        <is>
          <t>Ikebukuro; Nakano Broadway</t>
        </is>
      </c>
      <c r="D6" s="16" t="inlineStr">
        <is>
          <t>Akihabara para primera vez y variedad; Nakano para coleccionismo; Ikebukuro para otome/Pokémon.</t>
        </is>
      </c>
      <c r="E6" s="16" t="inlineStr">
        <is>
          <t>Los tres solo tienen sentido para fans fuertes.</t>
        </is>
      </c>
    </row>
    <row r="7" ht="44" customHeight="1">
      <c r="A7" s="16" t="inlineStr">
        <is>
          <t>Nintendo/Pokémon</t>
        </is>
      </c>
      <c r="B7" s="16" t="inlineStr">
        <is>
          <t>SUPER NINTENDO WORLD</t>
        </is>
      </c>
      <c r="C7" s="16" t="inlineStr">
        <is>
          <t>Nintendo Museum; Nintendo TOKYO; PokéPark KANTO</t>
        </is>
      </c>
      <c r="D7" s="16" t="inlineStr">
        <is>
          <t>SNW gana en inmersión Mario; Nintendo Museum en historia/diseño; PokéPark en Pokémon.</t>
        </is>
      </c>
      <c r="E7" s="16" t="inlineStr">
        <is>
          <t>Nintendo TOKYO es tienda, no reemplaza museo o parque.</t>
        </is>
      </c>
    </row>
    <row r="8" ht="44" customHeight="1">
      <c r="A8" s="16" t="inlineStr">
        <is>
          <t>Miradores Osaka</t>
        </is>
      </c>
      <c r="B8" s="16" t="inlineStr">
        <is>
          <t>Umeda Sky Building</t>
        </is>
      </c>
      <c r="C8" s="16" t="inlineStr">
        <is>
          <t>Abeno Harukas; Tsutenkaku</t>
        </is>
      </c>
      <c r="D8" s="16" t="inlineStr">
        <is>
          <t>Umeda Sky por arquitectura y cubierta; Abeno por altura. Tsutenkaku solo por nostalgia.</t>
        </is>
      </c>
      <c r="E8" s="16" t="inlineStr">
        <is>
          <t>Elegir Umeda o Abeno suele bastar.</t>
        </is>
      </c>
    </row>
    <row r="9" ht="44" customHeight="1">
      <c r="A9" s="16" t="inlineStr">
        <is>
          <t>Castillos Kansai</t>
        </is>
      </c>
      <c r="B9" s="16" t="inlineStr">
        <is>
          <t>Himeji Castle</t>
        </is>
      </c>
      <c r="C9" s="16" t="inlineStr">
        <is>
          <t>Hikone Castle; Osaka Castle</t>
        </is>
      </c>
      <c r="D9" s="16" t="inlineStr">
        <is>
          <t>Himeji es la prioridad por autenticidad y escala. Hikone es alternativa tranquila. Osaka vale más por exterior/parque.</t>
        </is>
      </c>
      <c r="E9" s="16" t="inlineStr">
        <is>
          <t>Si se ve Himeji, el interior de Osaka Castle resulta redundante.</t>
        </is>
      </c>
    </row>
    <row r="10" ht="44" customHeight="1">
      <c r="A10" s="16" t="inlineStr">
        <is>
          <t>Onsen Kansai/Kanto</t>
        </is>
      </c>
      <c r="B10" s="16" t="inlineStr">
        <is>
          <t>Kinosaki Onsen</t>
        </is>
      </c>
      <c r="C10" s="16" t="inlineStr">
        <is>
          <t>Arima Onsen; Hakone</t>
        </is>
      </c>
      <c r="D10" s="16" t="inlineStr">
        <is>
          <t>Kinosaki gana como pueblo y noche; Arima por acceso; Hakone por arte/Fuji.</t>
        </is>
      </c>
      <c r="E10" s="16" t="inlineStr">
        <is>
          <t>No hacer Kinosaki como excursión corta.</t>
        </is>
      </c>
    </row>
    <row r="11" ht="44" customHeight="1">
      <c r="A11" s="16" t="inlineStr">
        <is>
          <t>Patrimonio Nara vs Kioto</t>
        </is>
      </c>
      <c r="B11" s="16" t="inlineStr">
        <is>
          <t>Tōdai-ji + Kasuga Taisha</t>
        </is>
      </c>
      <c r="C11" s="16" t="inlineStr">
        <is>
          <t>Más templos centrales de Kioto</t>
        </is>
      </c>
      <c r="D11" s="16" t="inlineStr">
        <is>
          <t>Nara no es redundante: escala, antigüedad y bosque son diferentes.</t>
        </is>
      </c>
      <c r="E11" s="16" t="inlineStr">
        <is>
          <t>Tras varios templos de Kioto, priorizar Todai-ji y Kasuga, no cada subtemplo.</t>
        </is>
      </c>
    </row>
    <row r="12" ht="44" customHeight="1">
      <c r="A12" s="16" t="inlineStr">
        <is>
          <t>Acuarios</t>
        </is>
      </c>
      <c r="B12" s="16" t="inlineStr">
        <is>
          <t>Okinawa Churaumi Aquarium</t>
        </is>
      </c>
      <c r="C12" s="16" t="inlineStr">
        <is>
          <t>Kaiyukan; Sumida Aquarium</t>
        </is>
      </c>
      <c r="D12" s="16" t="inlineStr">
        <is>
          <t>Churaumi gana por fauna pelágica y coral; Kaiyukan por recorrido urbano. Sumida es opcional.</t>
        </is>
      </c>
      <c r="E12" s="16" t="inlineStr">
        <is>
          <t>Visitar Churaumi y Kaiyukan solo si existe gran interés en fauna.</t>
        </is>
      </c>
    </row>
    <row r="13" ht="44" customHeight="1">
      <c r="A13" s="16" t="inlineStr">
        <is>
          <t>Playas Okinawa</t>
        </is>
      </c>
      <c r="B13" s="16" t="inlineStr">
        <is>
          <t>Kerama / Miyako</t>
        </is>
      </c>
      <c r="C13" s="16" t="inlineStr">
        <is>
          <t>Playas de la isla principal</t>
        </is>
      </c>
      <c r="D13" s="16" t="inlineStr">
        <is>
          <t>Para agua y snorkel, las islas exteriores ganan. La isla principal aporta comodidad y cultura.</t>
        </is>
      </c>
      <c r="E13" s="16" t="inlineStr">
        <is>
          <t>Heart Rock y playas virales no sustituyen Kerama/Miyako.</t>
        </is>
      </c>
    </row>
    <row r="14" ht="44" customHeight="1">
      <c r="A14" s="16" t="inlineStr">
        <is>
          <t>Naturaleza norte Okinawa</t>
        </is>
      </c>
      <c r="B14" s="16" t="inlineStr">
        <is>
          <t>Yambaru National Park</t>
        </is>
      </c>
      <c r="C14" s="16" t="inlineStr">
        <is>
          <t>JUNGLIA OKINAWA</t>
        </is>
      </c>
      <c r="D14" s="16" t="inlineStr">
        <is>
          <t>Yanbaru real gana en biodiversidad, originalidad y valor; Junglia en entretenimiento controlado.</t>
        </is>
      </c>
      <c r="E14" s="16" t="inlineStr">
        <is>
          <t>Con tiempo limitado, priorizar naturaleza o Churaumi antes que Junglia.</t>
        </is>
      </c>
    </row>
    <row r="15" ht="44" customHeight="1">
      <c r="A15" s="16" t="inlineStr">
        <is>
          <t>Calles históricas</t>
        </is>
      </c>
      <c r="B15" s="16" t="inlineStr">
        <is>
          <t>Gion Shirakawa</t>
        </is>
      </c>
      <c r="C15" s="16" t="inlineStr">
        <is>
          <t>Sannenzaka/Ninenzaka; Naramachi; Kawagoe</t>
        </is>
      </c>
      <c r="D15" s="16" t="inlineStr">
        <is>
          <t>Gion para atmósfera; Naramachi para vida local; Kawagoe para paisaje Edo accesible.</t>
        </is>
      </c>
      <c r="E15" s="16" t="inlineStr">
        <is>
          <t>Sannenzaka a media mañana es la más saturada.</t>
        </is>
      </c>
    </row>
    <row r="16" ht="44" customHeight="1">
      <c r="A16" s="16" t="inlineStr">
        <is>
          <t>Grandes jardines</t>
        </is>
      </c>
      <c r="B16" s="16" t="inlineStr">
        <is>
          <t>Katsura Imperial Villa</t>
        </is>
      </c>
      <c r="C16" s="16" t="inlineStr">
        <is>
          <t>Shinjuku Gyoen; Murin-an; Isuien; Hama-rikyu</t>
        </is>
      </c>
      <c r="D16" s="16" t="inlineStr">
        <is>
          <t>Katsura es la obra maestra; Murin-an el íntimo; Shinjuku el gran descanso urbano.</t>
        </is>
      </c>
      <c r="E16" s="16" t="inlineStr">
        <is>
          <t>No son redundantes si se eligen por escala y estilo.</t>
        </is>
      </c>
    </row>
    <row r="17">
      <c r="A17" t="inlineStr">
        <is>
          <t>Parques Disney Tokio</t>
        </is>
      </c>
      <c r="B17" t="inlineStr">
        <is>
          <t>Tokyo DisneySea</t>
        </is>
      </c>
      <c r="C17" t="inlineStr">
        <is>
          <t>Tokyo Disneyland</t>
        </is>
      </c>
      <c r="D17" t="inlineStr">
        <is>
          <t>DisneySea por singularidad; Disneyland por iconografía clásica y familias.</t>
        </is>
      </c>
      <c r="E17" t="inlineStr">
        <is>
          <t>Pueden convivir; no son sustitutos exactos y cada uno requiere un día.</t>
        </is>
      </c>
    </row>
    <row r="18">
      <c r="A18" t="inlineStr">
        <is>
          <t>Festivales de invierno Hokkaido</t>
        </is>
      </c>
      <c r="B18" t="inlineStr">
        <is>
          <t>Según fechas y logística</t>
        </is>
      </c>
      <c r="C18" t="inlineStr">
        <is>
          <t>Sapporo Snow Festival; Otaru Snow Light Path; Lake Shikotsu Ice Festival</t>
        </is>
      </c>
      <c r="D18" t="inlineStr">
        <is>
          <t>Sapporo gana en escala; Otaru en atmósfera; Shikotsu en paisaje natural.</t>
        </is>
      </c>
      <c r="E18" t="inlineStr">
        <is>
          <t>No tratar fechas históricas como confirmadas para 2027.</t>
        </is>
      </c>
    </row>
    <row r="19">
      <c r="A19" t="inlineStr">
        <is>
          <t>Ciudades con ambiente Edo</t>
        </is>
      </c>
      <c r="B19" t="inlineStr">
        <is>
          <t>Takayama si se incluye Hida</t>
        </is>
      </c>
      <c r="C19" t="inlineStr">
        <is>
          <t>Kawagoe; Takayama</t>
        </is>
      </c>
      <c r="D19" t="inlineStr">
        <is>
          <t>Kawagoe funciona como excursión desde Tokio; Takayama es un destino regional conocido.</t>
        </is>
      </c>
      <c r="E19" t="inlineStr">
        <is>
          <t>No son duplicados geográficos; comparar solo si la ruta futura obliga a elegir.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.670000076293945" customWidth="1" min="1" max="1"/>
    <col width="26" customWidth="1" min="2" max="2"/>
    <col width="60" customWidth="1" min="3" max="3"/>
    <col width="20" customWidth="1" min="4" max="4"/>
    <col width="44" customWidth="1" min="5" max="5"/>
  </cols>
  <sheetData>
    <row r="1" ht="30" customHeight="1">
      <c r="A1" s="15" t="inlineStr">
        <is>
          <t>Hub</t>
        </is>
      </c>
      <c r="B1" s="15" t="inlineStr">
        <is>
          <t>Lugar/sistema</t>
        </is>
      </c>
      <c r="C1" s="15" t="inlineStr">
        <is>
          <t>Cambio verificado</t>
        </is>
      </c>
      <c r="D1" s="15" t="inlineStr">
        <is>
          <t>Estado</t>
        </is>
      </c>
      <c r="E1" s="15" t="inlineStr">
        <is>
          <t>Fuente</t>
        </is>
      </c>
    </row>
    <row r="2" ht="44" customHeight="1">
      <c r="A2" s="16" t="inlineStr">
        <is>
          <t>Tokio</t>
        </is>
      </c>
      <c r="B2" s="16" t="inlineStr">
        <is>
          <t>PokéPark KANTO</t>
        </is>
      </c>
      <c r="C2" s="16" t="inlineStr">
        <is>
          <t>Abrió el 5 feb 2026 dentro de Yomiuriland; entradas controladas y app oficial.</t>
        </is>
      </c>
      <c r="D2" s="16" t="inlineStr">
        <is>
          <t>CONFIRMADO</t>
        </is>
      </c>
      <c r="E2" s="16" t="inlineStr">
        <is>
          <t>https://www.pokepark-kanto.co.jp/</t>
        </is>
      </c>
    </row>
    <row r="3" ht="44" customHeight="1">
      <c r="A3" s="16" t="inlineStr">
        <is>
          <t>Tokio</t>
        </is>
      </c>
      <c r="B3" s="16" t="inlineStr">
        <is>
          <t>Edo-Tokyo Museum</t>
        </is>
      </c>
      <c r="C3" s="16" t="inlineStr">
        <is>
          <t>Reabrió el 31 mar 2026 tras renovación; entrada permanente publicada a ¥800.</t>
        </is>
      </c>
      <c r="D3" s="16" t="inlineStr">
        <is>
          <t>CONFIRMADO</t>
        </is>
      </c>
      <c r="E3" s="16" t="inlineStr">
        <is>
          <t>https://www.edo-tokyo-museum.or.jp/en/</t>
        </is>
      </c>
    </row>
    <row r="4" ht="44" customHeight="1">
      <c r="A4" s="16" t="inlineStr">
        <is>
          <t>Tokio</t>
        </is>
      </c>
      <c r="B4" s="16" t="inlineStr">
        <is>
          <t>teamLab Planets</t>
        </is>
      </c>
      <c r="C4" s="16" t="inlineStr">
        <is>
          <t>La sede oficial anuncia operación hasta finales de 2027.</t>
        </is>
      </c>
      <c r="D4" s="16" t="inlineStr">
        <is>
          <t>CONFIRMADO</t>
        </is>
      </c>
      <c r="E4" s="16" t="inlineStr">
        <is>
          <t>https://www.teamlab.art/e/planets/</t>
        </is>
      </c>
    </row>
    <row r="5" ht="44" customHeight="1">
      <c r="A5" s="16" t="inlineStr">
        <is>
          <t>Tokio</t>
        </is>
      </c>
      <c r="B5" s="16" t="inlineStr">
        <is>
          <t>Ghibli Museum</t>
        </is>
      </c>
      <c r="C5" s="16" t="inlineStr">
        <is>
          <t>Acceso únicamente con reserva anticipada; no vende entradas en puerta.</t>
        </is>
      </c>
      <c r="D5" s="16" t="inlineStr">
        <is>
          <t>CONFIRMADO</t>
        </is>
      </c>
      <c r="E5" s="16" t="inlineStr">
        <is>
          <t>https://www.ghibli-museum.jp/en/tickets/</t>
        </is>
      </c>
    </row>
    <row r="6" ht="44" customHeight="1">
      <c r="A6" s="16" t="inlineStr">
        <is>
          <t>Kioto</t>
        </is>
      </c>
      <c r="B6" s="16" t="inlineStr">
        <is>
          <t>teamLab Biovortex Kyoto</t>
        </is>
      </c>
      <c r="C6" s="16" t="inlineStr">
        <is>
          <t>Abrió el 7 oct 2025; entrada horaria y tarifa dinámica desde ¥3,400 adulto.</t>
        </is>
      </c>
      <c r="D6" s="16" t="inlineStr">
        <is>
          <t>CONFIRMADO</t>
        </is>
      </c>
      <c r="E6" s="16" t="inlineStr">
        <is>
          <t>https://www.teamlab.art/e/kyoto/</t>
        </is>
      </c>
    </row>
    <row r="7" ht="44" customHeight="1">
      <c r="A7" s="16" t="inlineStr">
        <is>
          <t>Kioto</t>
        </is>
      </c>
      <c r="B7" s="16" t="inlineStr">
        <is>
          <t>Nintendo Museum</t>
        </is>
      </c>
      <c r="C7" s="16" t="inlineStr">
        <is>
          <t>Solicitud por sorteo tres meses antes; puede liberar remanentes por orden de compra.</t>
        </is>
      </c>
      <c r="D7" s="16" t="inlineStr">
        <is>
          <t>CONFIRMADO</t>
        </is>
      </c>
      <c r="E7" s="16" t="inlineStr">
        <is>
          <t>https://museum.nintendo.com/en/index.html</t>
        </is>
      </c>
    </row>
    <row r="8" ht="44" customHeight="1">
      <c r="A8" s="16" t="inlineStr">
        <is>
          <t>Kioto</t>
        </is>
      </c>
      <c r="B8" s="16" t="inlineStr">
        <is>
          <t>Uzumasa Kyoto Village</t>
        </is>
      </c>
      <c r="C8" s="16" t="inlineStr">
        <is>
          <t>Nueva fase inmersiva inaugurada el 28 mar 2026.</t>
        </is>
      </c>
      <c r="D8" s="16" t="inlineStr">
        <is>
          <t>CONFIRMADO</t>
        </is>
      </c>
      <c r="E8" s="16" t="inlineStr">
        <is>
          <t>https://global.toei-eigamura.com/</t>
        </is>
      </c>
    </row>
    <row r="9" ht="44" customHeight="1">
      <c r="A9" s="16" t="inlineStr">
        <is>
          <t>Kioto</t>
        </is>
      </c>
      <c r="B9" s="16" t="inlineStr">
        <is>
          <t>Congestión</t>
        </is>
      </c>
      <c r="C9" s="16" t="inlineStr">
        <is>
          <t>La guía oficial mantiene previsión de congestión y cámaras para 11 puntos críticos.</t>
        </is>
      </c>
      <c r="D9" s="16" t="inlineStr">
        <is>
          <t>CONFIRMADO</t>
        </is>
      </c>
      <c r="E9" s="16" t="inlineStr">
        <is>
          <t>https://global.kyoto.travel/en/comfort/</t>
        </is>
      </c>
    </row>
    <row r="10" ht="44" customHeight="1">
      <c r="A10" s="16" t="inlineStr">
        <is>
          <t>Osaka</t>
        </is>
      </c>
      <c r="B10" s="16" t="inlineStr">
        <is>
          <t>Expo 2025</t>
        </is>
      </c>
      <c r="C10" s="16" t="inlineStr">
        <is>
          <t>Cerró definitivamente el 13 oct 2025; no debe figurar como atracción activa.</t>
        </is>
      </c>
      <c r="D10" s="16" t="inlineStr">
        <is>
          <t>CONFIRMADO</t>
        </is>
      </c>
      <c r="E10" s="16" t="inlineStr">
        <is>
          <t>https://www.expo2025.or.jp/en/</t>
        </is>
      </c>
    </row>
    <row r="11" ht="44" customHeight="1">
      <c r="A11" s="16" t="inlineStr">
        <is>
          <t>Osaka</t>
        </is>
      </c>
      <c r="B11" s="16" t="inlineStr">
        <is>
          <t>USJ / SUPER NINTENDO WORLD</t>
        </is>
      </c>
      <c r="C11" s="16" t="inlineStr">
        <is>
          <t>Desde 5 ene 2026 la app oficial es necesaria para timed/standby entry del área; desde 1 sep se especifica fecha en Studio Pass.</t>
        </is>
      </c>
      <c r="D11" s="16" t="inlineStr">
        <is>
          <t>CONFIRMADO</t>
        </is>
      </c>
      <c r="E11" s="16" t="inlineStr">
        <is>
          <t>https://www.usj.co.jp/web/en/us/areas/super-nintendo-world</t>
        </is>
      </c>
    </row>
    <row r="12" ht="44" customHeight="1">
      <c r="A12" s="16" t="inlineStr">
        <is>
          <t>Okinawa</t>
        </is>
      </c>
      <c r="B12" s="16" t="inlineStr">
        <is>
          <t>Shurijo Seiden</t>
        </is>
      </c>
      <c r="C12" s="16" t="inlineStr">
        <is>
          <t>Apertura pública anunciada para el 23 nov 2026, con tarifa revisada y reserva previa.</t>
        </is>
      </c>
      <c r="D12" s="16" t="inlineStr">
        <is>
          <t>CONFIRMADO / FUTURO</t>
        </is>
      </c>
      <c r="E12" s="16" t="inlineStr">
        <is>
          <t>https://oki-park.jp/shurijo/en/</t>
        </is>
      </c>
    </row>
    <row r="13" ht="44" customHeight="1">
      <c r="A13" s="16" t="inlineStr">
        <is>
          <t>Okinawa</t>
        </is>
      </c>
      <c r="B13" s="16" t="inlineStr">
        <is>
          <t>Sefa Utaki</t>
        </is>
      </c>
      <c r="C13" s="16" t="inlineStr">
        <is>
          <t>Existen restricciones parciales de acceso anunciadas en 2026 y seis días sagrados variables.</t>
        </is>
      </c>
      <c r="D13" s="16" t="inlineStr">
        <is>
          <t>VARIABLE</t>
        </is>
      </c>
      <c r="E13" s="16" t="inlineStr">
        <is>
          <t>https://visitokinawajapan.com/</t>
        </is>
      </c>
    </row>
    <row r="14" ht="44" customHeight="1">
      <c r="A14" s="16" t="inlineStr">
        <is>
          <t>Okinawa</t>
        </is>
      </c>
      <c r="B14" s="16" t="inlineStr">
        <is>
          <t>JUNGLIA</t>
        </is>
      </c>
      <c r="C14" s="16" t="inlineStr">
        <is>
          <t>Horarios se publican hasta cuatro meses y solo dos meses quedan confirmados; operación sensible a clima y aforo.</t>
        </is>
      </c>
      <c r="D14" s="16" t="inlineStr">
        <is>
          <t>VARIABLE</t>
        </is>
      </c>
      <c r="E14" s="16" t="inlineStr">
        <is>
          <t>https://junglia.jp/en/opening-hours</t>
        </is>
      </c>
    </row>
    <row r="15" ht="44" customHeight="1">
      <c r="A15" s="16" t="inlineStr">
        <is>
          <t>Okinawa</t>
        </is>
      </c>
      <c r="B15" s="16" t="inlineStr">
        <is>
          <t>Ferries</t>
        </is>
      </c>
      <c r="C15" s="16" t="inlineStr">
        <is>
          <t>Horarios y estado cambian por temporada, oleaje y tifones; guía oficial actualizada a julio de 2026.</t>
        </is>
      </c>
      <c r="D15" s="16" t="inlineStr">
        <is>
          <t>VARIABLE</t>
        </is>
      </c>
      <c r="E15" s="16" t="inlineStr">
        <is>
          <t>https://visitokinawajapan.com/plan-your-trip/getting-around-okinawa/ferries-between-islands/</t>
        </is>
      </c>
    </row>
    <row r="16">
      <c r="A16" t="inlineStr">
        <is>
          <t>Tokio</t>
        </is>
      </c>
      <c r="B16" t="inlineStr">
        <is>
          <t>teamLab Borderless</t>
        </is>
      </c>
      <c r="C16" t="inlineStr">
        <is>
          <t>Sede permanente vigente en Azabudai Hills; el cierre de Odaiba de 2022 no equivale al cierre de la atracción.</t>
        </is>
      </c>
      <c r="D16" t="inlineStr">
        <is>
          <t>CONFIRMADO</t>
        </is>
      </c>
      <c r="E16" t="inlineStr">
        <is>
          <t>https://www.teamlab.art/e/tokyo/</t>
        </is>
      </c>
    </row>
    <row r="17">
      <c r="A17" t="inlineStr">
        <is>
          <t>Okinawa</t>
        </is>
      </c>
      <c r="B17" t="inlineStr">
        <is>
          <t>Shurijo Seiden</t>
        </is>
      </c>
      <c r="C17" t="inlineStr">
        <is>
          <t>Apertura pública del Seiden el 23 nov 2026.</t>
        </is>
      </c>
      <c r="D17" t="inlineStr">
        <is>
          <t>CONFIRMADO</t>
        </is>
      </c>
      <c r="E17" t="inlineStr">
        <is>
          <t>https://oki-park.jp.e.ms.hp.transer.com/shurijo/information/detail/10959</t>
        </is>
      </c>
    </row>
    <row r="18">
      <c r="A18" t="inlineStr">
        <is>
          <t>Tokio</t>
        </is>
      </c>
      <c r="B18" t="inlineStr">
        <is>
          <t>Tokyo Disney Resort</t>
        </is>
      </c>
      <c r="C18" t="inlineStr">
        <is>
          <t>Dos nuevas atracciones anunciadas para primavera de 2027; fecha exacta aún pendiente.</t>
        </is>
      </c>
      <c r="D18" t="inlineStr">
        <is>
          <t>ANUNCIADO / FECHA PENDIENTE</t>
        </is>
      </c>
      <c r="E18" t="inlineStr">
        <is>
          <t>https://www.tokyodisneyresort.jp/en/index.html</t>
        </is>
      </c>
    </row>
    <row r="19">
      <c r="A19" t="inlineStr">
        <is>
          <t>Osaka</t>
        </is>
      </c>
      <c r="B19" t="inlineStr">
        <is>
          <t>AnimeJapan 2027</t>
        </is>
      </c>
      <c r="C19" t="inlineStr">
        <is>
          <t>La edición 2027 se celebrará en INTEX Osaka, no en Tokio.</t>
        </is>
      </c>
      <c r="D19" t="inlineStr">
        <is>
          <t>CONFIRMADO</t>
        </is>
      </c>
      <c r="E19" t="inlineStr">
        <is>
          <t>https://anime-japan.jp/en/about/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8.779999732971191" customWidth="1" min="1" max="1"/>
    <col width="28" customWidth="1" min="2" max="2"/>
    <col width="28" customWidth="1" min="3" max="3"/>
    <col width="58" customWidth="1" min="4" max="4"/>
    <col width="48" customWidth="1" min="5" max="5"/>
    <col width="48" customWidth="1" min="6" max="6"/>
  </cols>
  <sheetData>
    <row r="1" ht="30" customHeight="1">
      <c r="A1" s="15" t="inlineStr">
        <is>
          <t>Hub</t>
        </is>
      </c>
      <c r="B1" s="15" t="inlineStr">
        <is>
          <t>Lugar / tema</t>
        </is>
      </c>
      <c r="C1" s="15" t="inlineStr">
        <is>
          <t>Estado Feb–Mar 2027</t>
        </is>
      </c>
      <c r="D1" s="15" t="inlineStr">
        <is>
          <t>Advertencia u oportunidad</t>
        </is>
      </c>
      <c r="E1" s="15" t="inlineStr">
        <is>
          <t>Acción recomendada</t>
        </is>
      </c>
      <c r="F1" s="15" t="inlineStr">
        <is>
          <t>Fuente</t>
        </is>
      </c>
    </row>
    <row r="2" ht="44" customHeight="1">
      <c r="A2" s="16" t="inlineStr">
        <is>
          <t>Tokio</t>
        </is>
      </c>
      <c r="B2" s="16" t="inlineStr">
        <is>
          <t>teamLab Planets</t>
        </is>
      </c>
      <c r="C2" s="16" t="inlineStr">
        <is>
          <t>ABIERTO CONFIRMADO</t>
        </is>
      </c>
      <c r="D2" s="16" t="inlineStr">
        <is>
          <t>La sede oficial anuncia operación hasta finales de 2027.</t>
        </is>
      </c>
      <c r="E2" s="16" t="inlineStr">
        <is>
          <t>Comprar franja horaria cuando se definan fechas.</t>
        </is>
      </c>
      <c r="F2" s="16" t="inlineStr">
        <is>
          <t>https://www.teamlab.art/e/planets/</t>
        </is>
      </c>
    </row>
    <row r="3" ht="44" customHeight="1">
      <c r="A3" s="16" t="inlineStr">
        <is>
          <t>Tokio</t>
        </is>
      </c>
      <c r="B3" s="16" t="inlineStr">
        <is>
          <t>Ghibli Museum, Mitaka</t>
        </is>
      </c>
      <c r="C3" s="16" t="inlineStr">
        <is>
          <t>CALENDARIO 2027 PENDIENTE</t>
        </is>
      </c>
      <c r="D3" s="16" t="inlineStr">
        <is>
          <t>No vende entradas en puerta; el calendario de febrero–marzo de 2027 aún no está publicado al corte.</t>
        </is>
      </c>
      <c r="E3" s="16" t="inlineStr">
        <is>
          <t>Vigilar la venta mensual y confirmar posibles cierres de mantenimiento.</t>
        </is>
      </c>
      <c r="F3" s="16" t="inlineStr">
        <is>
          <t>https://www.ghibli-museum.jp/en/tickets/</t>
        </is>
      </c>
    </row>
    <row r="4" ht="44" customHeight="1">
      <c r="A4" s="16" t="inlineStr">
        <is>
          <t>Tokio</t>
        </is>
      </c>
      <c r="B4" s="16" t="inlineStr">
        <is>
          <t>PokéPark KANTO</t>
        </is>
      </c>
      <c r="C4" s="16" t="inlineStr">
        <is>
          <t>VENTA FUTURA / CUPO LIMITADO</t>
        </is>
      </c>
      <c r="D4" s="16" t="inlineStr">
        <is>
          <t>Estará operando si no surge un cierre extraordinario, pero usa entradas controladas y app.</t>
        </is>
      </c>
      <c r="E4" s="16" t="inlineStr">
        <is>
          <t>Revisar el sistema de lotería/venta cuando abra el calendario de 2027.</t>
        </is>
      </c>
      <c r="F4" s="16" t="inlineStr">
        <is>
          <t>https://www.pokepark-kanto.co.jp/</t>
        </is>
      </c>
    </row>
    <row r="5" ht="44" customHeight="1">
      <c r="A5" s="16" t="inlineStr">
        <is>
          <t>Tokio</t>
        </is>
      </c>
      <c r="B5" s="16" t="inlineStr">
        <is>
          <t>Mount Takao / Mount Mitake / Okutama</t>
        </is>
      </c>
      <c r="C5" s="16" t="inlineStr">
        <is>
          <t>RIESGO ESTACIONAL</t>
        </is>
      </c>
      <c r="D5" s="16" t="inlineStr">
        <is>
          <t>Puede haber nieve, hielo, cierres de cablecar o senderos y anochece temprano.</t>
        </is>
      </c>
      <c r="E5" s="16" t="inlineStr">
        <is>
          <t>Llevar calzado adecuado y revisar montaña, clima y transporte 24–48 h antes.</t>
        </is>
      </c>
      <c r="F5" s="16" t="inlineStr">
        <is>
          <t>https://www.gotokyo.org/en/destinations/outlying-area/okutama/index.html</t>
        </is>
      </c>
    </row>
    <row r="6" ht="44" customHeight="1">
      <c r="A6" s="16" t="inlineStr">
        <is>
          <t>Tokio</t>
        </is>
      </c>
      <c r="B6" s="16" t="inlineStr">
        <is>
          <t>Fuji / Hakone / Kawaguchiko</t>
        </is>
      </c>
      <c r="C6" s="16" t="inlineStr">
        <is>
          <t>OPORTUNIDAD + RIESGO</t>
        </is>
      </c>
      <c r="D6" s="16" t="inlineStr">
        <is>
          <t>El invierno suele dar buena visibilidad de Fuji, pero puede haber nieve, hielo y transporte afectado.</t>
        </is>
      </c>
      <c r="E6" s="16" t="inlineStr">
        <is>
          <t>Mantener la actividad sujeta al pronóstico; confirmar buses, barco y teleféricos.</t>
        </is>
      </c>
      <c r="F6" s="16" t="inlineStr">
        <is>
          <t>https://www.japan.travel/en/uk/inspiration/winter-in-japan/</t>
        </is>
      </c>
    </row>
    <row r="7" ht="44" customHeight="1">
      <c r="A7" s="16" t="inlineStr">
        <is>
          <t>Kioto</t>
        </is>
      </c>
      <c r="B7" s="16" t="inlineStr">
        <is>
          <t>Nintendo Museum</t>
        </is>
      </c>
      <c r="C7" s="16" t="inlineStr">
        <is>
          <t>VENTA FUTURA / SORTEO</t>
        </is>
      </c>
      <c r="D7" s="16" t="inlineStr">
        <is>
          <t>La regla oficial es solicitar por sorteo con tres meses de anticipación.</t>
        </is>
      </c>
      <c r="E7" s="16" t="inlineStr">
        <is>
          <t>Si se mantiene: solicitar en noviembre de 2026 para febrero y diciembre de 2026 para marzo.</t>
        </is>
      </c>
      <c r="F7" s="16" t="inlineStr">
        <is>
          <t>https://museum.nintendo.com/en/index.html</t>
        </is>
      </c>
    </row>
    <row r="8" ht="44" customHeight="1">
      <c r="A8" s="16" t="inlineStr">
        <is>
          <t>Kioto</t>
        </is>
      </c>
      <c r="B8" s="16" t="inlineStr">
        <is>
          <t>Kyoto National Museum</t>
        </is>
      </c>
      <c r="C8" s="16" t="inlineStr">
        <is>
          <t>CIERRE PARCIAL CONFIRMADO</t>
        </is>
      </c>
      <c r="D8" s="16" t="inlineStr">
        <is>
          <t>Galerías previstas abiertas del 2 de enero al 22 de marzo de 2027; del 24 de marzo al 18 de abril solo jardines y exteriores.</t>
        </is>
      </c>
      <c r="E8" s="16" t="inlineStr">
        <is>
          <t>Evitar el museo después del 22 de marzo si el objetivo son las colecciones interiores.</t>
        </is>
      </c>
      <c r="F8" s="16" t="inlineStr">
        <is>
          <t>https://www.kyohaku.go.jp/eng/visit/info/</t>
        </is>
      </c>
    </row>
    <row r="9" ht="44" customHeight="1">
      <c r="A9" s="16" t="inlineStr">
        <is>
          <t>Kioto</t>
        </is>
      </c>
      <c r="B9" s="16" t="inlineStr">
        <is>
          <t>Winter Special Openings</t>
        </is>
      </c>
      <c r="C9" s="16" t="inlineStr">
        <is>
          <t>PROGRAMA 2027 NO PUBLICADO</t>
        </is>
      </c>
      <c r="D9" s="16" t="inlineStr">
        <is>
          <t>La edición 2026 funcionó en invierno, pero templos y fechas de 2027 aún no están confirmados.</t>
        </is>
      </c>
      <c r="E9" s="16" t="inlineStr">
        <is>
          <t>Revisar la guía oficial de Kioto cuando publique la edición 2027.</t>
        </is>
      </c>
      <c r="F9" s="16" t="inlineStr">
        <is>
          <t>https://kyoto.travel/en/see-and-do/kyoto-winter-special-openings.html</t>
        </is>
      </c>
    </row>
    <row r="10" ht="44" customHeight="1">
      <c r="A10" s="16" t="inlineStr">
        <is>
          <t>Kioto</t>
        </is>
      </c>
      <c r="B10" s="16" t="inlineStr">
        <is>
          <t>Nanzen-in</t>
        </is>
      </c>
      <c r="C10" s="16" t="inlineStr">
        <is>
          <t>OBRA / FECHA APROXIMADA</t>
        </is>
      </c>
      <c r="D10" s="16" t="inlineStr">
        <is>
          <t>El pabellón tiene cierre comunicado hasta primavera de 2027; Nanzen-ji principal permanece como visita distinta.</t>
        </is>
      </c>
      <c r="E10" s="16" t="inlineStr">
        <is>
          <t>Confirmar reapertura exacta si interesa específicamente Nanzen-in.</t>
        </is>
      </c>
      <c r="F10" s="16" t="inlineStr">
        <is>
          <t>https://www.nanzenji.or.jp/en/</t>
        </is>
      </c>
    </row>
    <row r="11" ht="44" customHeight="1">
      <c r="A11" s="16" t="inlineStr">
        <is>
          <t>Osaka/Kansai</t>
        </is>
      </c>
      <c r="B11" s="16" t="inlineStr">
        <is>
          <t>Universal Studios Japan</t>
        </is>
      </c>
      <c r="C11" s="16" t="inlineStr">
        <is>
          <t>CALENDARIO DE MANTENIMIENTO PENDIENTE</t>
        </is>
      </c>
      <c r="D11" s="16" t="inlineStr">
        <is>
          <t>Las atracciones cerradas en febrero–marzo de 2027 aún no están publicadas; el evento del 25.º aniversario llega hasta el 30 de marzo de 2027.</t>
        </is>
      </c>
      <c r="E11" s="16" t="inlineStr">
        <is>
          <t>Revisar cierres y horarios al salir a la venta la fecha; usar la app para Super Nintendo World.</t>
        </is>
      </c>
      <c r="F11" s="16" t="inlineStr">
        <is>
          <t>https://www.usj.co.jp/web/en/us/service-guide/schedule/attraction-closure</t>
        </is>
      </c>
    </row>
    <row r="12" ht="44" customHeight="1">
      <c r="A12" s="16" t="inlineStr">
        <is>
          <t>Osaka/Kansai</t>
        </is>
      </c>
      <c r="B12" s="16" t="inlineStr">
        <is>
          <t>SUPER NINTENDO WORLD</t>
        </is>
      </c>
      <c r="C12" s="16" t="inlineStr">
        <is>
          <t>ABIERTO PREVISTO / EVENTO FINALIZADO</t>
        </is>
      </c>
      <c r="D12" s="16" t="inlineStr">
        <is>
          <t>La celebración del 5.º aniversario termina el 11 de enero de 2027, por lo que no debe anunciarse como activa en febrero–marzo.</t>
        </is>
      </c>
      <c r="E12" s="16" t="inlineStr">
        <is>
          <t>Reservar fecha/Express si se desea reducir el riesgo de no entrar al área.</t>
        </is>
      </c>
      <c r="F12" s="16" t="inlineStr">
        <is>
          <t>https://www.usj.co.jp/web/en/us/areas/super-nintendo-world</t>
        </is>
      </c>
    </row>
    <row r="13" ht="44" customHeight="1">
      <c r="A13" s="16" t="inlineStr">
        <is>
          <t>Osaka/Kansai</t>
        </is>
      </c>
      <c r="B13" s="16" t="inlineStr">
        <is>
          <t>MIHO Museum</t>
        </is>
      </c>
      <c r="C13" s="16" t="inlineStr">
        <is>
          <t>ALTO RIESGO DE CIERRE ESTACIONAL</t>
        </is>
      </c>
      <c r="D13" s="16" t="inlineStr">
        <is>
          <t>El museo cierra por largos periodos entre exposiciones y suele mantener cierre invernal hasta mediados de marzo; calendario 2027 pendiente.</t>
        </is>
      </c>
      <c r="E13" s="16" t="inlineStr">
        <is>
          <t>No considerarlo disponible hasta que se publique el calendario anual.</t>
        </is>
      </c>
      <c r="F13" s="16" t="inlineStr">
        <is>
          <t>https://www.miho.jp/en/</t>
        </is>
      </c>
    </row>
    <row r="14" ht="44" customHeight="1">
      <c r="A14" s="16" t="inlineStr">
        <is>
          <t>Osaka/Kansai</t>
        </is>
      </c>
      <c r="B14" s="16" t="inlineStr">
        <is>
          <t>Enryaku-ji</t>
        </is>
      </c>
      <c r="C14" s="16" t="inlineStr">
        <is>
          <t>OBRAS ACTIVAS</t>
        </is>
      </c>
      <c r="D14" s="16" t="inlineStr">
        <is>
          <t>La restauración del Konpon Chudo continúa durante la ventana de viaje; el complejo sigue siendo visitable.</t>
        </is>
      </c>
      <c r="E14" s="16" t="inlineStr">
        <is>
          <t>Comprobar qué interiores y andamios están accesibles antes de ir.</t>
        </is>
      </c>
      <c r="F14" s="16" t="inlineStr">
        <is>
          <t>https://www.hieizan.or.jp/_att/english.pdf</t>
        </is>
      </c>
    </row>
    <row r="15" ht="44" customHeight="1">
      <c r="A15" s="16" t="inlineStr">
        <is>
          <t>Osaka/Kansai</t>
        </is>
      </c>
      <c r="B15" s="16" t="inlineStr">
        <is>
          <t>Kinosaki Onsen</t>
        </is>
      </c>
      <c r="C15" s="16" t="inlineStr">
        <is>
          <t>OPORTUNIDAD ESTACIONAL</t>
        </is>
      </c>
      <c r="D15" s="16" t="inlineStr">
        <is>
          <t>Invierno y marzo son fuertes para onsen, atmósfera invernal y temporada de cangrejo.</t>
        </is>
      </c>
      <c r="E15" s="16" t="inlineStr">
        <is>
          <t>Reservar ryokan con antelación y confirmar cierres semanales de cada baño.</t>
        </is>
      </c>
      <c r="F15" s="16" t="inlineStr">
        <is>
          <t>https://visitkinosaki.com/</t>
        </is>
      </c>
    </row>
    <row r="16" ht="44" customHeight="1">
      <c r="A16" s="16" t="inlineStr">
        <is>
          <t>Okinawa</t>
        </is>
      </c>
      <c r="B16" s="16" t="inlineStr">
        <is>
          <t>Shurijo Seiden</t>
        </is>
      </c>
      <c r="C16" s="16" t="inlineStr">
        <is>
          <t>ABIERTO PREVISTO DESDE 23 NOV 2026</t>
        </is>
      </c>
      <c r="D16" s="16" t="inlineStr">
        <is>
          <t>La apertura pública del Seiden está anunciada antes del viaje, con nueva tarifa y reserva previa.</t>
        </is>
      </c>
      <c r="E16" s="16" t="inlineStr">
        <is>
          <t>Tratarlo como disponible, pero reconfirmar operación y reservar cuando abra la fecha.</t>
        </is>
      </c>
      <c r="F16" s="16" t="inlineStr">
        <is>
          <t>https://oki-park.jp/shurijo/en/</t>
        </is>
      </c>
    </row>
    <row r="17" ht="44" customHeight="1">
      <c r="A17" s="16" t="inlineStr">
        <is>
          <t>Okinawa</t>
        </is>
      </c>
      <c r="B17" s="16" t="inlineStr">
        <is>
          <t>Whale watching</t>
        </is>
      </c>
      <c r="C17" s="16" t="inlineStr">
        <is>
          <t>OPORTUNIDAD ESTACIONAL FUERTE</t>
        </is>
      </c>
      <c r="D17" s="16" t="inlineStr">
        <is>
          <t>Febrero y marzo están dentro de la temporada principal de ballena jorobada.</t>
        </is>
      </c>
      <c r="E17" s="16" t="inlineStr">
        <is>
          <t>Reservar con margen y dejar claro que el mar puede cancelar la salida.</t>
        </is>
      </c>
      <c r="F17" s="16" t="inlineStr">
        <is>
          <t>https://visitokinawajapan.com/travel-inspiration/whale-watching-in-okinawa/</t>
        </is>
      </c>
    </row>
    <row r="18" ht="44" customHeight="1">
      <c r="A18" s="16" t="inlineStr">
        <is>
          <t>Okinawa</t>
        </is>
      </c>
      <c r="B18" s="16" t="inlineStr">
        <is>
          <t>Playas, snorkel y ferries</t>
        </is>
      </c>
      <c r="C18" s="16" t="inlineStr">
        <is>
          <t>VARIABLE POR MAR / SERVICIOS LIMITADOS</t>
        </is>
      </c>
      <c r="D18" s="16" t="inlineStr">
        <is>
          <t>El agua está más fresca, puede hacer viento y algunos servicios de playa operan de forma reducida; ferries y tours dependen del oleaje.</t>
        </is>
      </c>
      <c r="E18" s="16" t="inlineStr">
        <is>
          <t>Usar traje de neopreno y revisar estado de mar, bandera y ferry el día anterior.</t>
        </is>
      </c>
      <c r="F18" s="16" t="inlineStr">
        <is>
          <t>https://visitokinawajapan.com/plan-your-trip/getting-around-okinawa/ferries-between-islands/</t>
        </is>
      </c>
    </row>
    <row r="19" ht="44" customHeight="1">
      <c r="A19" s="16" t="inlineStr">
        <is>
          <t>Okinawa</t>
        </is>
      </c>
      <c r="B19" s="16" t="inlineStr">
        <is>
          <t>Sefa Utaki</t>
        </is>
      </c>
      <c r="C19" s="16" t="inlineStr">
        <is>
          <t>CIERRES SAGRADOS PENDIENTES</t>
        </is>
      </c>
      <c r="D19" s="16" t="inlineStr">
        <is>
          <t>Existen seis días sagrados anuales y restricciones parciales; las fechas 2027 dependen del calendario lunar.</t>
        </is>
      </c>
      <c r="E19" s="16" t="inlineStr">
        <is>
          <t>Verificar las fechas oficiales de febrero–marzo antes de fijar la visita.</t>
        </is>
      </c>
      <c r="F19" s="16" t="inlineStr">
        <is>
          <t>https://visitokinawajapan.com/discover/world-heritage-top/sefa-utaki/</t>
        </is>
      </c>
    </row>
    <row r="20" ht="44" customHeight="1">
      <c r="A20" s="16" t="inlineStr">
        <is>
          <t>Okinawa</t>
        </is>
      </c>
      <c r="B20" s="16" t="inlineStr">
        <is>
          <t>JUNGLIA OKINAWA</t>
        </is>
      </c>
      <c r="C20" s="16" t="inlineStr">
        <is>
          <t>HORARIO 2027 PENDIENTE</t>
        </is>
      </c>
      <c r="D20" s="16" t="inlineStr">
        <is>
          <t>El parque publica horarios con pocos meses de horizonte y la operación depende del clima y aforo.</t>
        </is>
      </c>
      <c r="E20" s="16" t="inlineStr">
        <is>
          <t>No comprar logística no reembolsable hasta que el día aparezca confirmado.</t>
        </is>
      </c>
      <c r="F20" s="16" t="inlineStr">
        <is>
          <t>https://junglia.jp/en/opening-hours</t>
        </is>
      </c>
    </row>
    <row r="21" ht="44" customHeight="1">
      <c r="A21" s="16" t="inlineStr">
        <is>
          <t>Okinawa</t>
        </is>
      </c>
      <c r="B21" s="16" t="inlineStr">
        <is>
          <t>Yonaguni hammerhead diving</t>
        </is>
      </c>
      <c r="C21" s="16" t="inlineStr">
        <is>
          <t>OPORTUNIDAD ESTACIONAL / AVANZADO</t>
        </is>
      </c>
      <c r="D21" s="16" t="inlineStr">
        <is>
          <t>Diciembre–febrero es la ventana más conocida para bancos de tiburón martillo; corrientes y mar exigen experiencia.</t>
        </is>
      </c>
      <c r="E21" s="16" t="inlineStr">
        <is>
          <t>Solo para buzos certificados adecuados; reservar operador y vuelos con meses.</t>
        </is>
      </c>
      <c r="F21" s="16" t="inlineStr">
        <is>
          <t>https://visitokinawajapan.com/destinations/yaeyama-islands/yonaguni-island/</t>
        </is>
      </c>
    </row>
    <row r="22" ht="44" customHeight="1">
      <c r="A22" s="16" t="inlineStr">
        <is>
          <t>Japón central</t>
        </is>
      </c>
      <c r="B22" s="16" t="inlineStr">
        <is>
          <t>Sakura</t>
        </is>
      </c>
      <c r="C22" s="16" t="inlineStr">
        <is>
          <t>NO GARANTIZADA</t>
        </is>
      </c>
      <c r="D22" s="16" t="inlineStr">
        <is>
          <t>En Tokio, Kioto y Osaka la floración plena suele llegar más tarde que febrero; finales de marzo puede coincidir, pero no existe pronóstico fiable para 2027 al corte.</t>
        </is>
      </c>
      <c r="E22" s="16" t="inlineStr">
        <is>
          <t>No basar la selección de lugares en una fecha de floración hasta el pronóstico 2027.</t>
        </is>
      </c>
      <c r="F22" s="16" t="inlineStr">
        <is>
          <t>https://www.japan.travel/en/see-and-do/cherry-blossom-forecast-2026/</t>
        </is>
      </c>
    </row>
    <row r="23">
      <c r="A23" t="inlineStr">
        <is>
          <t>Tokio</t>
        </is>
      </c>
      <c r="B23" t="inlineStr">
        <is>
          <t>teamLab Borderless</t>
        </is>
      </c>
      <c r="C23" t="inlineStr">
        <is>
          <t>ABIERTO CONFIRMADO</t>
        </is>
      </c>
      <c r="D23" t="inlineStr">
        <is>
          <t>Sede permanente de Azabudai Hills; Planets es otra experiencia.</t>
        </is>
      </c>
      <c r="E23" t="inlineStr">
        <is>
          <t>Comprar franja y reconfirmar horario/precio.</t>
        </is>
      </c>
      <c r="F23" t="inlineStr">
        <is>
          <t>https://www.teamlab.art/e/tokyo/</t>
        </is>
      </c>
    </row>
    <row r="24">
      <c r="A24" t="inlineStr">
        <is>
          <t>Tokio</t>
        </is>
      </c>
      <c r="B24" t="inlineStr">
        <is>
          <t>Tokyo Disney Resort</t>
        </is>
      </c>
      <c r="C24" t="inlineStr">
        <is>
          <t>PENDIENTE 2027</t>
        </is>
      </c>
      <c r="D24" t="inlineStr">
        <is>
          <t>Nuevas atracciones anunciadas para primavera sin fecha exacta; mantenimiento variable.</t>
        </is>
      </c>
      <c r="E24" t="inlineStr">
        <is>
          <t>Revisar calendario oficial antes de comprar.</t>
        </is>
      </c>
      <c r="F24" t="inlineStr">
        <is>
          <t>https://www.tokyodisneyresort.jp/en/index.html</t>
        </is>
      </c>
    </row>
    <row r="25">
      <c r="A25" t="inlineStr">
        <is>
          <t>Tokio</t>
        </is>
      </c>
      <c r="B25" t="inlineStr">
        <is>
          <t>Tokyo Marathon</t>
        </is>
      </c>
      <c r="C25" t="inlineStr">
        <is>
          <t>CONFIRMADO 2027</t>
        </is>
      </c>
      <c r="D25" t="inlineStr">
        <is>
          <t>Carrera 7 mar; expo 4–6 mar; afectará movilidad.</t>
        </is>
      </c>
      <c r="E25" t="inlineStr">
        <is>
          <t>Revisar cortes en febrero de 2027.</t>
        </is>
      </c>
      <c r="F25" t="inlineStr">
        <is>
          <t>https://www.marathon.tokyo/en/news/detail/news_20260415111128.html</t>
        </is>
      </c>
    </row>
    <row r="26">
      <c r="A26" t="inlineStr">
        <is>
          <t>Sapporo</t>
        </is>
      </c>
      <c r="B26" t="inlineStr">
        <is>
          <t>Sapporo Snow Festival</t>
        </is>
      </c>
      <c r="C26" t="inlineStr">
        <is>
          <t>PENDIENTE 2027</t>
        </is>
      </c>
      <c r="D26" t="inlineStr">
        <is>
          <t>Evento habitual de principios de febrero, pero fechas 2027 no anunciadas oficialmente.</t>
        </is>
      </c>
      <c r="E26" t="inlineStr">
        <is>
          <t>Revisar otoño–diciembre de 2026.</t>
        </is>
      </c>
      <c r="F26" t="inlineStr">
        <is>
          <t>https://www.snowfes.com/en/</t>
        </is>
      </c>
    </row>
    <row r="27">
      <c r="A27" t="inlineStr">
        <is>
          <t>Sapporo</t>
        </is>
      </c>
      <c r="B27" t="inlineStr">
        <is>
          <t>Otaru Snow Light Path</t>
        </is>
      </c>
      <c r="C27" t="inlineStr">
        <is>
          <t>PENDIENTE 2027</t>
        </is>
      </c>
      <c r="D27" t="inlineStr">
        <is>
          <t>Patrón habitual de febrero; fechas 2027 pendientes.</t>
        </is>
      </c>
      <c r="E27" t="inlineStr">
        <is>
          <t>Revisar noviembre–diciembre de 2026.</t>
        </is>
      </c>
      <c r="F27" t="inlineStr">
        <is>
          <t>https://otaru-yukiakarinomichi.org/</t>
        </is>
      </c>
    </row>
    <row r="28">
      <c r="A28" t="inlineStr">
        <is>
          <t>Sapporo</t>
        </is>
      </c>
      <c r="B28" t="inlineStr">
        <is>
          <t>Lake Shikotsu Ice Festival</t>
        </is>
      </c>
      <c r="C28" t="inlineStr">
        <is>
          <t>PENDIENTE 2027</t>
        </is>
      </c>
      <c r="D28" t="inlineStr">
        <is>
          <t>Patrón de invierno; fechas y operación 2027 pendientes.</t>
        </is>
      </c>
      <c r="E28" t="inlineStr">
        <is>
          <t>Revisar noviembre–diciembre de 2026.</t>
        </is>
      </c>
      <c r="F28" t="inlineStr">
        <is>
          <t>https://hyoutou-special.asia/</t>
        </is>
      </c>
    </row>
    <row r="29">
      <c r="A29" t="inlineStr">
        <is>
          <t>Tokio</t>
        </is>
      </c>
      <c r="B29" t="inlineStr">
        <is>
          <t>Kawazu Cherry Blossom Festival</t>
        </is>
      </c>
      <c r="C29" t="inlineStr">
        <is>
          <t>PENDIENTE 2027</t>
        </is>
      </c>
      <c r="D29" t="inlineStr">
        <is>
          <t>Fechas y floración no confirmadas; alta dependencia climática.</t>
        </is>
      </c>
      <c r="E29" t="inlineStr">
        <is>
          <t>Revisar calendario y floración en enero de 2027.</t>
        </is>
      </c>
      <c r="F29" t="inlineStr">
        <is>
          <t>https://kawazuzakura.net/</t>
        </is>
      </c>
    </row>
    <row r="30">
      <c r="A30" t="inlineStr">
        <is>
          <t>Osaka</t>
        </is>
      </c>
      <c r="B30" t="inlineStr">
        <is>
          <t>Tōdai-ji Shuni-e / Omizutori</t>
        </is>
      </c>
      <c r="C30" t="inlineStr">
        <is>
          <t>PATRÓN HISTÓRICO / MUY PROBABLE</t>
        </is>
      </c>
      <c r="D30" t="inlineStr">
        <is>
          <t>Ceremonia anual de marzo; programa público específico 2027 pendiente.</t>
        </is>
      </c>
      <c r="E30" t="inlineStr">
        <is>
          <t>Revisar Tōdai-ji en enero de 2027.</t>
        </is>
      </c>
      <c r="F30" t="inlineStr">
        <is>
          <t>https://www.todaiji.or.jp/en/annual/event/shunie/</t>
        </is>
      </c>
    </row>
    <row r="31">
      <c r="A31" t="inlineStr">
        <is>
          <t>Osaka</t>
        </is>
      </c>
      <c r="B31" t="inlineStr">
        <is>
          <t>Grand Sumo Tournament</t>
        </is>
      </c>
      <c r="C31" t="inlineStr">
        <is>
          <t>CONFIRMADO 2027</t>
        </is>
      </c>
      <c r="D31" t="inlineStr">
        <is>
          <t>14–28 mar; venta anunciada desde 6 feb 2027.</t>
        </is>
      </c>
      <c r="E31" t="inlineStr">
        <is>
          <t>Comprar al abrir la venta.</t>
        </is>
      </c>
      <c r="F31" t="inlineStr">
        <is>
          <t>https://www.sumo.or.jp/EnTicket/year_schedule/</t>
        </is>
      </c>
    </row>
    <row r="32">
      <c r="A32" t="inlineStr">
        <is>
          <t>Osaka</t>
        </is>
      </c>
      <c r="B32" t="inlineStr">
        <is>
          <t>AnimeJapan</t>
        </is>
      </c>
      <c r="C32" t="inlineStr">
        <is>
          <t>CONFIRMADO 2027</t>
        </is>
      </c>
      <c r="D32" t="inlineStr">
        <is>
          <t>27–28 mar en INTEX Osaka; entradas/programa pendientes.</t>
        </is>
      </c>
      <c r="E32" t="inlineStr">
        <is>
          <t>Revisar venta y programa en invierno.</t>
        </is>
      </c>
      <c r="F32" t="inlineStr">
        <is>
          <t>https://anime-japan.jp/en/about/</t>
        </is>
      </c>
    </row>
    <row r="33">
      <c r="A33" t="inlineStr">
        <is>
          <t>Okinawa</t>
        </is>
      </c>
      <c r="B33" t="inlineStr">
        <is>
          <t>Shurijo Seiden</t>
        </is>
      </c>
      <c r="C33" t="inlineStr">
        <is>
          <t>ABIERTO CONFIRMADO</t>
        </is>
      </c>
      <c r="D33" t="inlineStr">
        <is>
          <t>Apertura pública 23 nov 2026; pueden continuar trabajos en otras zonas.</t>
        </is>
      </c>
      <c r="E33" t="inlineStr">
        <is>
          <t>Reconfirmar reserva y condiciones.</t>
        </is>
      </c>
      <c r="F33" t="inlineStr">
        <is>
          <t>https://oki-park.jp.e.ms.hp.transer.com/shurijo/information/detail/10959</t>
        </is>
      </c>
    </row>
    <row r="34">
      <c r="A34" t="inlineStr">
        <is>
          <t>Japón</t>
        </is>
      </c>
      <c r="B34" t="inlineStr">
        <is>
          <t>Setsubun</t>
        </is>
      </c>
      <c r="C34" t="inlineStr">
        <is>
          <t>PATRÓN HISTÓRICO / MUY PROBABLE</t>
        </is>
      </c>
      <c r="D34" t="inlineStr">
        <is>
          <t>Se celebra habitualmente en torno al 3 feb; programas locales 2027 pendientes.</t>
        </is>
      </c>
      <c r="E34" t="inlineStr">
        <is>
          <t>Elegir templo solo cuando haya anuncios oficiales.</t>
        </is>
      </c>
      <c r="F34" t="inlineStr">
        <is>
          <t>https://www.japan.travel/en/uk/inspiration/setsubun/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8.779999732971191" customWidth="1" min="1" max="1"/>
    <col width="28" customWidth="1" min="2" max="2"/>
    <col width="14" customWidth="1" min="3" max="3"/>
    <col width="44" customWidth="1" min="4" max="4"/>
    <col width="50" customWidth="1" min="5" max="5"/>
    <col width="10" customWidth="1" min="6" max="6"/>
  </cols>
  <sheetData>
    <row r="1" ht="30" customHeight="1">
      <c r="A1" s="15" t="inlineStr">
        <is>
          <t>Fuente ID</t>
        </is>
      </c>
      <c r="B1" s="15" t="inlineStr">
        <is>
          <t>Nombre</t>
        </is>
      </c>
      <c r="C1" s="15" t="inlineStr">
        <is>
          <t>Tipo</t>
        </is>
      </c>
      <c r="D1" s="15" t="inlineStr">
        <is>
          <t>Cobertura</t>
        </is>
      </c>
      <c r="E1" s="15" t="inlineStr">
        <is>
          <t>URL</t>
        </is>
      </c>
      <c r="F1" s="15" t="inlineStr">
        <is>
          <t>Consultada</t>
        </is>
      </c>
    </row>
    <row r="2" ht="44" customHeight="1">
      <c r="A2" s="16" t="inlineStr">
        <is>
          <t>S-001</t>
        </is>
      </c>
      <c r="B2" s="16" t="inlineStr">
        <is>
          <t>GO TOKYO</t>
        </is>
      </c>
      <c r="C2" s="16" t="inlineStr">
        <is>
          <t>Oficial</t>
        </is>
      </c>
      <c r="D2" s="16" t="inlineStr">
        <is>
          <t>Tokio: barrios, atracciones, tendencias y eventos</t>
        </is>
      </c>
      <c r="E2" s="16" t="inlineStr">
        <is>
          <t>https://www.gotokyo.org/en/index.html</t>
        </is>
      </c>
      <c r="F2" s="16" t="inlineStr">
        <is>
          <t>2026-09-01</t>
        </is>
      </c>
    </row>
    <row r="3" ht="44" customHeight="1">
      <c r="A3" s="16" t="inlineStr">
        <is>
          <t>S-002</t>
        </is>
      </c>
      <c r="B3" s="16" t="inlineStr">
        <is>
          <t>Kyoto City Official Guide</t>
        </is>
      </c>
      <c r="C3" s="16" t="inlineStr">
        <is>
          <t>Oficial</t>
        </is>
      </c>
      <c r="D3" s="16" t="inlineStr">
        <is>
          <t>Kioto: destinos, hidden gems, congestión y actividades</t>
        </is>
      </c>
      <c r="E3" s="16" t="inlineStr">
        <is>
          <t>https://kyoto.travel/en/</t>
        </is>
      </c>
      <c r="F3" s="16" t="inlineStr">
        <is>
          <t>2026-09-01</t>
        </is>
      </c>
    </row>
    <row r="4" ht="44" customHeight="1">
      <c r="A4" s="16" t="inlineStr">
        <is>
          <t>S-003</t>
        </is>
      </c>
      <c r="B4" s="16" t="inlineStr">
        <is>
          <t>OSAKA-INFO</t>
        </is>
      </c>
      <c r="C4" s="16" t="inlineStr">
        <is>
          <t>Oficial</t>
        </is>
      </c>
      <c r="D4" s="16" t="inlineStr">
        <is>
          <t>Osaka y acceso a Kansai</t>
        </is>
      </c>
      <c r="E4" s="16" t="inlineStr">
        <is>
          <t>https://osaka-info.jp/en/</t>
        </is>
      </c>
      <c r="F4" s="16" t="inlineStr">
        <is>
          <t>2026-09-01</t>
        </is>
      </c>
    </row>
    <row r="5" ht="44" customHeight="1">
      <c r="A5" s="16" t="inlineStr">
        <is>
          <t>S-004</t>
        </is>
      </c>
      <c r="B5" s="16" t="inlineStr">
        <is>
          <t>Visit Okinawa Japan</t>
        </is>
      </c>
      <c r="C5" s="16" t="inlineStr">
        <is>
          <t>Oficial</t>
        </is>
      </c>
      <c r="D5" s="16" t="inlineStr">
        <is>
          <t>Okinawa: islas, cultura, naturaleza y alertas</t>
        </is>
      </c>
      <c r="E5" s="16" t="inlineStr">
        <is>
          <t>https://visitokinawajapan.com/</t>
        </is>
      </c>
      <c r="F5" s="16" t="inlineStr">
        <is>
          <t>2026-09-01</t>
        </is>
      </c>
    </row>
    <row r="6" ht="44" customHeight="1">
      <c r="A6" s="16" t="inlineStr">
        <is>
          <t>S-005</t>
        </is>
      </c>
      <c r="B6" s="16" t="inlineStr">
        <is>
          <t>JNTO Travel Japan</t>
        </is>
      </c>
      <c r="C6" s="16" t="inlineStr">
        <is>
          <t>Oficial</t>
        </is>
      </c>
      <c r="D6" s="16" t="inlineStr">
        <is>
          <t>Contexto regional y excursiones</t>
        </is>
      </c>
      <c r="E6" s="16" t="inlineStr">
        <is>
          <t>https://www.japan.travel/en/</t>
        </is>
      </c>
      <c r="F6" s="16" t="inlineStr">
        <is>
          <t>2026-09-01</t>
        </is>
      </c>
    </row>
    <row r="7" ht="44" customHeight="1">
      <c r="A7" s="16" t="inlineStr">
        <is>
          <t>S-006</t>
        </is>
      </c>
      <c r="B7" s="16" t="inlineStr">
        <is>
          <t>Banco de México</t>
        </is>
      </c>
      <c r="C7" s="16" t="inlineStr">
        <is>
          <t>Oficial</t>
        </is>
      </c>
      <c r="D7" s="16" t="inlineStr">
        <is>
          <t>JPY/MXN 2026-09-01: 0.1060 MXN por JPY</t>
        </is>
      </c>
      <c r="E7" s="16" t="inlineStr">
        <is>
          <t>https://www.banxico.org.mx/tipcamb/main.do?idioma=en&amp;page=tip</t>
        </is>
      </c>
      <c r="F7" s="16" t="inlineStr">
        <is>
          <t>2026-09-01</t>
        </is>
      </c>
    </row>
    <row r="8" ht="44" customHeight="1">
      <c r="A8" s="16" t="inlineStr">
        <is>
          <t>S-007</t>
        </is>
      </c>
      <c r="B8" s="16" t="inlineStr">
        <is>
          <t>PokéPark KANTO</t>
        </is>
      </c>
      <c r="C8" s="16" t="inlineStr">
        <is>
          <t>Oficial</t>
        </is>
      </c>
      <c r="D8" s="16" t="inlineStr">
        <is>
          <t>Operación y tickets 2026</t>
        </is>
      </c>
      <c r="E8" s="16" t="inlineStr">
        <is>
          <t>https://www.pokepark-kanto.co.jp/</t>
        </is>
      </c>
      <c r="F8" s="16" t="inlineStr">
        <is>
          <t>2026-09-01</t>
        </is>
      </c>
    </row>
    <row r="9" ht="44" customHeight="1">
      <c r="A9" s="16" t="inlineStr">
        <is>
          <t>S-008</t>
        </is>
      </c>
      <c r="B9" s="16" t="inlineStr">
        <is>
          <t>Nintendo Museum</t>
        </is>
      </c>
      <c r="C9" s="16" t="inlineStr">
        <is>
          <t>Oficial</t>
        </is>
      </c>
      <c r="D9" s="16" t="inlineStr">
        <is>
          <t>Reserva, lotería y museo</t>
        </is>
      </c>
      <c r="E9" s="16" t="inlineStr">
        <is>
          <t>https://museum.nintendo.com/en/index.html</t>
        </is>
      </c>
      <c r="F9" s="16" t="inlineStr">
        <is>
          <t>2026-09-01</t>
        </is>
      </c>
    </row>
    <row r="10" ht="44" customHeight="1">
      <c r="A10" s="16" t="inlineStr">
        <is>
          <t>S-009</t>
        </is>
      </c>
      <c r="B10" s="16" t="inlineStr">
        <is>
          <t>Universal Studios Japan</t>
        </is>
      </c>
      <c r="C10" s="16" t="inlineStr">
        <is>
          <t>Oficial</t>
        </is>
      </c>
      <c r="D10" s="16" t="inlineStr">
        <is>
          <t>Eventos, tickets y timed entry</t>
        </is>
      </c>
      <c r="E10" s="16" t="inlineStr">
        <is>
          <t>https://www.usj.co.jp/web/en/us</t>
        </is>
      </c>
      <c r="F10" s="16" t="inlineStr">
        <is>
          <t>2026-09-01</t>
        </is>
      </c>
    </row>
    <row r="11" ht="44" customHeight="1">
      <c r="A11" s="16" t="inlineStr">
        <is>
          <t>S-010</t>
        </is>
      </c>
      <c r="B11" s="16" t="inlineStr">
        <is>
          <t>teamLab</t>
        </is>
      </c>
      <c r="C11" s="16" t="inlineStr">
        <is>
          <t>Oficial</t>
        </is>
      </c>
      <c r="D11" s="16" t="inlineStr">
        <is>
          <t>Borderless, Planets, Biovortex y Botanical Garden</t>
        </is>
      </c>
      <c r="E11" s="16" t="inlineStr">
        <is>
          <t>https://www.teamlab.art/e/</t>
        </is>
      </c>
      <c r="F11" s="16" t="inlineStr">
        <is>
          <t>2026-09-01</t>
        </is>
      </c>
    </row>
    <row r="12" ht="44" customHeight="1">
      <c r="A12" s="16" t="inlineStr">
        <is>
          <t>S-011</t>
        </is>
      </c>
      <c r="B12" s="16" t="inlineStr">
        <is>
          <t>Ghibli Museum</t>
        </is>
      </c>
      <c r="C12" s="16" t="inlineStr">
        <is>
          <t>Oficial</t>
        </is>
      </c>
      <c r="D12" s="16" t="inlineStr">
        <is>
          <t>Tickets, horario y acceso</t>
        </is>
      </c>
      <c r="E12" s="16" t="inlineStr">
        <is>
          <t>https://www.ghibli-museum.jp/en/</t>
        </is>
      </c>
      <c r="F12" s="16" t="inlineStr">
        <is>
          <t>2026-09-01</t>
        </is>
      </c>
    </row>
    <row r="13" ht="44" customHeight="1">
      <c r="A13" s="16" t="inlineStr">
        <is>
          <t>S-012</t>
        </is>
      </c>
      <c r="B13" s="16" t="inlineStr">
        <is>
          <t>Edo-Tokyo Museum</t>
        </is>
      </c>
      <c r="C13" s="16" t="inlineStr">
        <is>
          <t>Oficial</t>
        </is>
      </c>
      <c r="D13" s="16" t="inlineStr">
        <is>
          <t>Reapertura 2026, exposiciones y tickets</t>
        </is>
      </c>
      <c r="E13" s="16" t="inlineStr">
        <is>
          <t>https://www.edo-tokyo-museum.or.jp/en/</t>
        </is>
      </c>
      <c r="F13" s="16" t="inlineStr">
        <is>
          <t>2026-09-01</t>
        </is>
      </c>
    </row>
    <row r="14" ht="44" customHeight="1">
      <c r="A14" s="16" t="inlineStr">
        <is>
          <t>S-013</t>
        </is>
      </c>
      <c r="B14" s="16" t="inlineStr">
        <is>
          <t>Shurijo Castle Park</t>
        </is>
      </c>
      <c r="C14" s="16" t="inlineStr">
        <is>
          <t>Oficial</t>
        </is>
      </c>
      <c r="D14" s="16" t="inlineStr">
        <is>
          <t>Reconstrucción y apertura 2026</t>
        </is>
      </c>
      <c r="E14" s="16" t="inlineStr">
        <is>
          <t>https://oki-park.jp/shurijo/en/</t>
        </is>
      </c>
      <c r="F14" s="16" t="inlineStr">
        <is>
          <t>2026-09-01</t>
        </is>
      </c>
    </row>
    <row r="15" ht="44" customHeight="1">
      <c r="A15" s="16" t="inlineStr">
        <is>
          <t>S-014</t>
        </is>
      </c>
      <c r="B15" s="16" t="inlineStr">
        <is>
          <t>JUNGLIA OKINAWA</t>
        </is>
      </c>
      <c r="C15" s="16" t="inlineStr">
        <is>
          <t>Oficial</t>
        </is>
      </c>
      <c r="D15" s="16" t="inlineStr">
        <is>
          <t>Tickets, horarios, acceso y cierres</t>
        </is>
      </c>
      <c r="E15" s="16" t="inlineStr">
        <is>
          <t>https://junglia.jp/en</t>
        </is>
      </c>
      <c r="F15" s="16" t="inlineStr">
        <is>
          <t>2026-09-01</t>
        </is>
      </c>
    </row>
    <row r="16" ht="44" customHeight="1">
      <c r="A16" s="16" t="inlineStr">
        <is>
          <t>S-015</t>
        </is>
      </c>
      <c r="B16" s="16" t="inlineStr">
        <is>
          <t>Okinawa Churaumi Aquarium</t>
        </is>
      </c>
      <c r="C16" s="16" t="inlineStr">
        <is>
          <t>Oficial</t>
        </is>
      </c>
      <c r="D16" s="16" t="inlineStr">
        <is>
          <t>Horario, tarifas y alertas</t>
        </is>
      </c>
      <c r="E16" s="16" t="inlineStr">
        <is>
          <t>https://churaumi.okinawa/en/</t>
        </is>
      </c>
      <c r="F16" s="16" t="inlineStr">
        <is>
          <t>2026-09-01</t>
        </is>
      </c>
    </row>
    <row r="17" ht="44" customHeight="1">
      <c r="A17" s="16" t="inlineStr">
        <is>
          <t>S-016</t>
        </is>
      </c>
      <c r="B17" s="16" t="inlineStr">
        <is>
          <t>Kyoto congestion forecast</t>
        </is>
      </c>
      <c r="C17" s="16" t="inlineStr">
        <is>
          <t>Oficial</t>
        </is>
      </c>
      <c r="D17" s="16" t="inlineStr">
        <is>
          <t>Pronóstico y cámaras de saturación</t>
        </is>
      </c>
      <c r="E17" s="16" t="inlineStr">
        <is>
          <t>https://global.kyoto.travel/en/comfort/</t>
        </is>
      </c>
      <c r="F17" s="16" t="inlineStr">
        <is>
          <t>2026-09-01</t>
        </is>
      </c>
    </row>
    <row r="18" ht="44" customHeight="1">
      <c r="A18" s="16" t="inlineStr">
        <is>
          <t>S-017</t>
        </is>
      </c>
      <c r="B18" s="16" t="inlineStr">
        <is>
          <t>Visit Nara</t>
        </is>
      </c>
      <c r="C18" s="16" t="inlineStr">
        <is>
          <t>Oficial</t>
        </is>
      </c>
      <c r="D18" s="16" t="inlineStr">
        <is>
          <t>Nara y patrimonio</t>
        </is>
      </c>
      <c r="E18" s="16" t="inlineStr">
        <is>
          <t>https://www.visitnara.jp/</t>
        </is>
      </c>
      <c r="F18" s="16" t="inlineStr">
        <is>
          <t>2026-09-01</t>
        </is>
      </c>
    </row>
    <row r="19" ht="44" customHeight="1">
      <c r="A19" s="16" t="inlineStr">
        <is>
          <t>S-018</t>
        </is>
      </c>
      <c r="B19" s="16" t="inlineStr">
        <is>
          <t>Hyogo Tourism</t>
        </is>
      </c>
      <c r="C19" s="16" t="inlineStr">
        <is>
          <t>Oficial</t>
        </is>
      </c>
      <c r="D19" s="16" t="inlineStr">
        <is>
          <t>Himeji, Kobe y Kinosaki</t>
        </is>
      </c>
      <c r="E19" s="16" t="inlineStr">
        <is>
          <t>https://www.hyogo-tourism.jp/world/</t>
        </is>
      </c>
      <c r="F19" s="16" t="inlineStr">
        <is>
          <t>2026-09-01</t>
        </is>
      </c>
    </row>
    <row r="20" ht="44" customHeight="1">
      <c r="A20" s="16" t="inlineStr">
        <is>
          <t>S-019</t>
        </is>
      </c>
      <c r="B20" s="16" t="inlineStr">
        <is>
          <t>Visit Wakayama</t>
        </is>
      </c>
      <c r="C20" s="16" t="inlineStr">
        <is>
          <t>Oficial</t>
        </is>
      </c>
      <c r="D20" s="16" t="inlineStr">
        <is>
          <t>Koyasan, Kumano y costa</t>
        </is>
      </c>
      <c r="E20" s="16" t="inlineStr">
        <is>
          <t>https://en.visitwakayama.jp/</t>
        </is>
      </c>
      <c r="F20" s="16" t="inlineStr">
        <is>
          <t>2026-09-01</t>
        </is>
      </c>
    </row>
    <row r="21" ht="44" customHeight="1">
      <c r="A21" s="16" t="inlineStr">
        <is>
          <t>S-020</t>
        </is>
      </c>
      <c r="B21" s="16" t="inlineStr">
        <is>
          <t>Shiga Biwako Tourism</t>
        </is>
      </c>
      <c r="C21" s="16" t="inlineStr">
        <is>
          <t>Oficial</t>
        </is>
      </c>
      <c r="D21" s="16" t="inlineStr">
        <is>
          <t>Lago Biwa, Hikone y Shiga</t>
        </is>
      </c>
      <c r="E21" s="16" t="inlineStr">
        <is>
          <t>https://en.biwako-visitors.jp/</t>
        </is>
      </c>
      <c r="F21" s="16" t="inlineStr">
        <is>
          <t>2026-09-01</t>
        </is>
      </c>
    </row>
    <row r="22" ht="44" customHeight="1">
      <c r="A22" s="16" t="inlineStr">
        <is>
          <t>S-021</t>
        </is>
      </c>
      <c r="B22" s="16" t="inlineStr">
        <is>
          <t>Visit Chiba</t>
        </is>
      </c>
      <c r="C22" s="16" t="inlineStr">
        <is>
          <t>Oficial</t>
        </is>
      </c>
      <c r="D22" s="16" t="inlineStr">
        <is>
          <t>Nokogiriyama, Sawara y Boso</t>
        </is>
      </c>
      <c r="E22" s="16" t="inlineStr">
        <is>
          <t>https://www.visitchiba.jp/</t>
        </is>
      </c>
      <c r="F22" s="16" t="inlineStr">
        <is>
          <t>2026-09-01</t>
        </is>
      </c>
    </row>
    <row r="23" ht="44" customHeight="1">
      <c r="A23" s="16" t="inlineStr">
        <is>
          <t>S-022</t>
        </is>
      </c>
      <c r="B23" s="16" t="inlineStr">
        <is>
          <t>Kanagawa Tourism</t>
        </is>
      </c>
      <c r="C23" s="16" t="inlineStr">
        <is>
          <t>Oficial</t>
        </is>
      </c>
      <c r="D23" s="16" t="inlineStr">
        <is>
          <t>Kamakura, Hakone y Yokohama</t>
        </is>
      </c>
      <c r="E23" s="16" t="inlineStr">
        <is>
          <t>https://trip.pref.kanagawa.jp/</t>
        </is>
      </c>
      <c r="F23" s="16" t="inlineStr">
        <is>
          <t>2026-09-01</t>
        </is>
      </c>
    </row>
    <row r="24" ht="44" customHeight="1">
      <c r="A24" s="16" t="inlineStr">
        <is>
          <t>S-023</t>
        </is>
      </c>
      <c r="B24" s="16" t="inlineStr">
        <is>
          <t>Expo 2025 official archive</t>
        </is>
      </c>
      <c r="C24" s="16" t="inlineStr">
        <is>
          <t>Oficial</t>
        </is>
      </c>
      <c r="D24" s="16" t="inlineStr">
        <is>
          <t>Confirmación de cierre 13 oct 2025</t>
        </is>
      </c>
      <c r="E24" s="16" t="inlineStr">
        <is>
          <t>https://www.expo2025.or.jp/en/</t>
        </is>
      </c>
      <c r="F24" s="16" t="inlineStr">
        <is>
          <t>2026-09-01</t>
        </is>
      </c>
    </row>
    <row r="25" ht="44" customHeight="1">
      <c r="A25" s="16" t="inlineStr">
        <is>
          <t>S-024</t>
        </is>
      </c>
      <c r="B25" s="16" t="inlineStr">
        <is>
          <t>Comunidades de viajeros</t>
        </is>
      </c>
      <c r="C25" s="16" t="inlineStr">
        <is>
          <t>Secundaria</t>
        </is>
      </c>
      <c r="D25" s="16" t="inlineStr">
        <is>
          <t>Contraste de saturación, filas y valor percibido</t>
        </is>
      </c>
      <c r="E25" s="16" t="inlineStr">
        <is>
          <t>https://www.reddit.com/r/JapanTravel/</t>
        </is>
      </c>
      <c r="F25" s="16" t="inlineStr">
        <is>
          <t>2026-09-01</t>
        </is>
      </c>
    </row>
    <row r="26">
      <c r="A26" t="inlineStr">
        <is>
          <t>S-025</t>
        </is>
      </c>
      <c r="B26" t="inlineStr">
        <is>
          <t>teamLab Borderless</t>
        </is>
      </c>
      <c r="C26" t="inlineStr">
        <is>
          <t>Oficial</t>
        </is>
      </c>
      <c r="D26" t="inlineStr">
        <is>
          <t>Sede Azabudai Hills, permanencia, horarios y entradas</t>
        </is>
      </c>
      <c r="E26" t="inlineStr">
        <is>
          <t>https://www.teamlab.art/e/tokyo/</t>
        </is>
      </c>
      <c r="F26" t="inlineStr">
        <is>
          <t>2026-09-01</t>
        </is>
      </c>
    </row>
    <row r="27">
      <c r="A27" t="inlineStr">
        <is>
          <t>S-026</t>
        </is>
      </c>
      <c r="B27" t="inlineStr">
        <is>
          <t>teamLab Planets</t>
        </is>
      </c>
      <c r="C27" t="inlineStr">
        <is>
          <t>Oficial</t>
        </is>
      </c>
      <c r="D27" t="inlineStr">
        <is>
          <t>Sede Toyosu y operación hasta finales de 2027</t>
        </is>
      </c>
      <c r="E27" t="inlineStr">
        <is>
          <t>https://www.teamlab.art/e/planets/</t>
        </is>
      </c>
      <c r="F27" t="inlineStr">
        <is>
          <t>2026-09-01</t>
        </is>
      </c>
    </row>
    <row r="28">
      <c r="A28" t="inlineStr">
        <is>
          <t>S-027</t>
        </is>
      </c>
      <c r="B28" t="inlineStr">
        <is>
          <t>Shurijo Castle Park</t>
        </is>
      </c>
      <c r="C28" t="inlineStr">
        <is>
          <t>Oficial</t>
        </is>
      </c>
      <c r="D28" t="inlineStr">
        <is>
          <t>Apertura pública del Seiden</t>
        </is>
      </c>
      <c r="E28" t="inlineStr">
        <is>
          <t>https://oki-park.jp.e.ms.hp.transer.com/shurijo/information/detail/10959</t>
        </is>
      </c>
      <c r="F28" t="inlineStr">
        <is>
          <t>2026-09-01</t>
        </is>
      </c>
    </row>
    <row r="29">
      <c r="A29" t="inlineStr">
        <is>
          <t>S-028</t>
        </is>
      </c>
      <c r="B29" t="inlineStr">
        <is>
          <t>Tokyo Disney Resort</t>
        </is>
      </c>
      <c r="C29" t="inlineStr">
        <is>
          <t>Oficial</t>
        </is>
      </c>
      <c r="D29" t="inlineStr">
        <is>
          <t>Parques, cambios y calendario</t>
        </is>
      </c>
      <c r="E29" t="inlineStr">
        <is>
          <t>https://www.tokyodisneyresort.jp/en/index.html</t>
        </is>
      </c>
      <c r="F29" t="inlineStr">
        <is>
          <t>2026-09-01</t>
        </is>
      </c>
    </row>
    <row r="30">
      <c r="A30" t="inlineStr">
        <is>
          <t>S-029</t>
        </is>
      </c>
      <c r="B30" t="inlineStr">
        <is>
          <t>Sapporo Snow Festival</t>
        </is>
      </c>
      <c r="C30" t="inlineStr">
        <is>
          <t>Oficial</t>
        </is>
      </c>
      <c r="D30" t="inlineStr">
        <is>
          <t>Ediciones y anuncios del festival</t>
        </is>
      </c>
      <c r="E30" t="inlineStr">
        <is>
          <t>https://www.snowfes.com/en/</t>
        </is>
      </c>
      <c r="F30" t="inlineStr">
        <is>
          <t>2026-09-01</t>
        </is>
      </c>
    </row>
    <row r="31">
      <c r="A31" t="inlineStr">
        <is>
          <t>S-030</t>
        </is>
      </c>
      <c r="B31" t="inlineStr">
        <is>
          <t>Otaru Snow Light Path</t>
        </is>
      </c>
      <c r="C31" t="inlineStr">
        <is>
          <t>Oficial</t>
        </is>
      </c>
      <c r="D31" t="inlineStr">
        <is>
          <t>Anuncios del evento</t>
        </is>
      </c>
      <c r="E31" t="inlineStr">
        <is>
          <t>https://otaru-yukiakarinomichi.org/</t>
        </is>
      </c>
      <c r="F31" t="inlineStr">
        <is>
          <t>2026-09-01</t>
        </is>
      </c>
    </row>
    <row r="32">
      <c r="A32" t="inlineStr">
        <is>
          <t>S-031</t>
        </is>
      </c>
      <c r="B32" t="inlineStr">
        <is>
          <t>Lake Shikotsu Ice Festival</t>
        </is>
      </c>
      <c r="C32" t="inlineStr">
        <is>
          <t>Oficial</t>
        </is>
      </c>
      <c r="D32" t="inlineStr">
        <is>
          <t>Ediciones, precios y operación</t>
        </is>
      </c>
      <c r="E32" t="inlineStr">
        <is>
          <t>https://hyoutou-special.asia/</t>
        </is>
      </c>
      <c r="F32" t="inlineStr">
        <is>
          <t>2026-09-01</t>
        </is>
      </c>
    </row>
    <row r="33">
      <c r="A33" t="inlineStr">
        <is>
          <t>S-032</t>
        </is>
      </c>
      <c r="B33" t="inlineStr">
        <is>
          <t>Kawazu Cherry Blossom Festival</t>
        </is>
      </c>
      <c r="C33" t="inlineStr">
        <is>
          <t>Oficial</t>
        </is>
      </c>
      <c r="D33" t="inlineStr">
        <is>
          <t>Calendario y estado de floración</t>
        </is>
      </c>
      <c r="E33" t="inlineStr">
        <is>
          <t>https://kawazuzakura.net/</t>
        </is>
      </c>
      <c r="F33" t="inlineStr">
        <is>
          <t>2026-09-01</t>
        </is>
      </c>
    </row>
    <row r="34">
      <c r="A34" t="inlineStr">
        <is>
          <t>S-033</t>
        </is>
      </c>
      <c r="B34" t="inlineStr">
        <is>
          <t>Tōdai-ji Shuni-e</t>
        </is>
      </c>
      <c r="C34" t="inlineStr">
        <is>
          <t>Oficial</t>
        </is>
      </c>
      <c r="D34" t="inlineStr">
        <is>
          <t>Ceremonia anual Shuni-e/Omizutori</t>
        </is>
      </c>
      <c r="E34" t="inlineStr">
        <is>
          <t>https://www.todaiji.or.jp/en/annual/event/shunie/</t>
        </is>
      </c>
      <c r="F34" t="inlineStr">
        <is>
          <t>2026-09-01</t>
        </is>
      </c>
    </row>
    <row r="35">
      <c r="A35" t="inlineStr">
        <is>
          <t>S-034</t>
        </is>
      </c>
      <c r="B35" t="inlineStr">
        <is>
          <t>AnimeJapan</t>
        </is>
      </c>
      <c r="C35" t="inlineStr">
        <is>
          <t>Oficial</t>
        </is>
      </c>
      <c r="D35" t="inlineStr">
        <is>
          <t>AnimeJapan 2027, sede y fechas</t>
        </is>
      </c>
      <c r="E35" t="inlineStr">
        <is>
          <t>https://anime-japan.jp/en/about/</t>
        </is>
      </c>
      <c r="F35" t="inlineStr">
        <is>
          <t>2026-09-01</t>
        </is>
      </c>
    </row>
    <row r="36">
      <c r="A36" t="inlineStr">
        <is>
          <t>S-035</t>
        </is>
      </c>
      <c r="B36" t="inlineStr">
        <is>
          <t>Japan Sumo Association</t>
        </is>
      </c>
      <c r="C36" t="inlineStr">
        <is>
          <t>Oficial</t>
        </is>
      </c>
      <c r="D36" t="inlineStr">
        <is>
          <t>Calendario de torneos 2027</t>
        </is>
      </c>
      <c r="E36" t="inlineStr">
        <is>
          <t>https://www.sumo.or.jp/EnTicket/year_schedule/</t>
        </is>
      </c>
      <c r="F36" t="inlineStr">
        <is>
          <t>2026-09-01</t>
        </is>
      </c>
    </row>
    <row r="37">
      <c r="A37" t="inlineStr">
        <is>
          <t>S-036</t>
        </is>
      </c>
      <c r="B37" t="inlineStr">
        <is>
          <t>Tokyo Marathon</t>
        </is>
      </c>
      <c r="C37" t="inlineStr">
        <is>
          <t>Oficial</t>
        </is>
      </c>
      <c r="D37" t="inlineStr">
        <is>
          <t>Fecha de Tokyo Marathon 2027</t>
        </is>
      </c>
      <c r="E37" t="inlineStr">
        <is>
          <t>https://www.marathon.tokyo/en/news/detail/news_20260415111128.html</t>
        </is>
      </c>
      <c r="F37" t="inlineStr">
        <is>
          <t>2026-09-01</t>
        </is>
      </c>
    </row>
    <row r="38">
      <c r="A38" t="inlineStr">
        <is>
          <t>S-037</t>
        </is>
      </c>
      <c r="B38" t="inlineStr">
        <is>
          <t>JNTO Okunoshima</t>
        </is>
      </c>
      <c r="C38" t="inlineStr">
        <is>
          <t>Oficial</t>
        </is>
      </c>
      <c r="D38" t="inlineStr">
        <is>
          <t>Acceso, naturaleza e historia de Okunoshima</t>
        </is>
      </c>
      <c r="E38" t="inlineStr">
        <is>
          <t>https://www.japan.travel/en/spot/871/</t>
        </is>
      </c>
      <c r="F38" t="inlineStr">
        <is>
          <t>2026-09-01</t>
        </is>
      </c>
    </row>
    <row r="39">
      <c r="A39" t="inlineStr">
        <is>
          <t>S-038</t>
        </is>
      </c>
      <c r="B39" t="inlineStr">
        <is>
          <t>JNTO Takayama</t>
        </is>
      </c>
      <c r="C39" t="inlineStr">
        <is>
          <t>Oficial</t>
        </is>
      </c>
      <c r="D39" t="inlineStr">
        <is>
          <t>Sanmachi y contexto turístico</t>
        </is>
      </c>
      <c r="E39" t="inlineStr">
        <is>
          <t>https://www.japan.travel/en/spot/152/</t>
        </is>
      </c>
      <c r="F39" t="inlineStr">
        <is>
          <t>2026-09-01</t>
        </is>
      </c>
    </row>
    <row r="40">
      <c r="A40" t="inlineStr">
        <is>
          <t>S-039</t>
        </is>
      </c>
      <c r="B40" t="inlineStr">
        <is>
          <t>Visit Fukuoka Yanagawa</t>
        </is>
      </c>
      <c r="C40" t="inlineStr">
        <is>
          <t>Oficial</t>
        </is>
      </c>
      <c r="D40" t="inlineStr">
        <is>
          <t>Crucero de canales y acceso</t>
        </is>
      </c>
      <c r="E40" t="inlineStr">
        <is>
          <t>https://www.crossroadfukuoka.jp/en/articles/yanagawa-kawakudari</t>
        </is>
      </c>
      <c r="F40" t="inlineStr">
        <is>
          <t>2026-09-01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9.56000137329102" customWidth="1" min="1" max="1"/>
    <col width="39.56000137329102" customWidth="1" min="2" max="2"/>
    <col width="39.56000137329102" customWidth="1" min="3" max="3"/>
    <col width="39.56000137329102" customWidth="1" min="4" max="4"/>
  </cols>
  <sheetData>
    <row r="1" ht="34" customHeight="1">
      <c r="A1" s="22" t="inlineStr">
        <is>
          <t>Configuración y leyendas</t>
        </is>
      </c>
    </row>
    <row r="2" ht="30" customHeight="1">
      <c r="A2" s="25" t="inlineStr">
        <is>
          <t>Valores editables que alimentan precios y criterios del libro.</t>
        </is>
      </c>
    </row>
    <row r="3" ht="30" customHeight="1">
      <c r="A3" s="15" t="inlineStr">
        <is>
          <t>Parámetro</t>
        </is>
      </c>
      <c r="B3" s="15" t="inlineStr">
        <is>
          <t>Valor</t>
        </is>
      </c>
    </row>
    <row r="4">
      <c r="A4" s="8" t="inlineStr">
        <is>
          <t>JPY → MXN</t>
        </is>
      </c>
      <c r="B4" s="94" t="n">
        <v>0.106</v>
      </c>
    </row>
    <row r="5">
      <c r="A5" s="8" t="inlineStr">
        <is>
          <t>Fecha de consulta</t>
        </is>
      </c>
      <c r="B5" s="95" t="n">
        <v>46266.5</v>
      </c>
    </row>
    <row r="6">
      <c r="A6" s="8" t="inlineStr">
        <is>
          <t>S</t>
        </is>
      </c>
      <c r="B6" s="8" t="inlineStr">
        <is>
          <t>Excepcional; podría justificar adaptar la ruta</t>
        </is>
      </c>
    </row>
    <row r="7">
      <c r="A7" s="8" t="inlineStr">
        <is>
          <t>A</t>
        </is>
      </c>
      <c r="B7" s="8" t="inlineStr">
        <is>
          <t>Muy recomendable</t>
        </is>
      </c>
    </row>
    <row r="8">
      <c r="A8" s="8" t="inlineStr">
        <is>
          <t>B</t>
        </is>
      </c>
      <c r="B8" s="8" t="inlineStr">
        <is>
          <t>Recomendable si encaja</t>
        </is>
      </c>
    </row>
    <row r="9">
      <c r="A9" s="8" t="inlineStr">
        <is>
          <t>C</t>
        </is>
      </c>
      <c r="B9" s="8" t="inlineStr">
        <is>
          <t>Interés específico / opcional</t>
        </is>
      </c>
    </row>
    <row r="10">
      <c r="A10" s="8" t="inlineStr">
        <is>
          <t>D</t>
        </is>
      </c>
      <c r="B10" s="8" t="inlineStr">
        <is>
          <t>Prescindible para este viaje; se conserva en la base</t>
        </is>
      </c>
    </row>
    <row r="12" ht="30" customHeight="1">
      <c r="A12" s="79" t="inlineStr">
        <is>
          <t>Hidden Gem Status</t>
        </is>
      </c>
      <c r="B12" s="79" t="inlineStr">
        <is>
          <t>Definición</t>
        </is>
      </c>
      <c r="C12" s="79" t="inlineStr">
        <is>
          <t>Criterio</t>
        </is>
      </c>
      <c r="D12" s="79" t="inlineStr">
        <is>
          <t>Uso UI</t>
        </is>
      </c>
    </row>
    <row r="13">
      <c r="A13" s="16" t="inlineStr">
        <is>
          <t>Hidden Gem real</t>
        </is>
      </c>
      <c r="B13" s="16" t="inlineStr">
        <is>
          <t>Excelente y poco conocido de forma general</t>
        </is>
      </c>
      <c r="C13" s="16" t="inlineStr">
        <is>
          <t>Baja notoriedad y saturación real</t>
        </is>
      </c>
      <c r="D13" s="16" t="inlineStr">
        <is>
          <t>HIDDEN GEM</t>
        </is>
      </c>
    </row>
    <row r="14">
      <c r="A14" s="16" t="inlineStr">
        <is>
          <t>Semi-hidden</t>
        </is>
      </c>
      <c r="B14" s="16" t="inlineStr">
        <is>
          <t>Conocido por nichos o turismo regional</t>
        </is>
      </c>
      <c r="C14" s="16" t="inlineStr">
        <is>
          <t>Menos saturado que los iconos nacionales</t>
        </is>
      </c>
      <c r="D14" s="16" t="inlineStr">
        <is>
          <t>HIDDEN</t>
        </is>
      </c>
    </row>
    <row r="15">
      <c r="A15" s="16" t="inlineStr">
        <is>
          <t>Alternativa menos saturada</t>
        </is>
      </c>
      <c r="B15" s="16" t="inlineStr">
        <is>
          <t>Sustituto útil de un sitio muy concurrido</t>
        </is>
      </c>
      <c r="C15" s="16" t="inlineStr">
        <is>
          <t>Experiencia parecida con menor presión</t>
        </is>
      </c>
      <c r="D15" s="16" t="inlineStr">
        <is>
          <t>ALTERNATIVE</t>
        </is>
      </c>
    </row>
    <row r="16">
      <c r="A16" s="16" t="inlineStr">
        <is>
          <t>Lugar conocido pero excelente</t>
        </is>
      </c>
      <c r="B16" s="16" t="inlineStr">
        <is>
          <t>Destino establecido cuyo valor sigue siendo alto</t>
        </is>
      </c>
      <c r="C16" s="16" t="inlineStr">
        <is>
          <t>No fingir que es secreto</t>
        </is>
      </c>
      <c r="D16" s="16" t="inlineStr">
        <is>
          <t>KNOWN EXCELLENT</t>
        </is>
      </c>
    </row>
    <row r="17">
      <c r="A17" s="16" t="inlineStr">
        <is>
          <t>Popular / turístico</t>
        </is>
      </c>
      <c r="B17" s="16" t="inlineStr">
        <is>
          <t>Sitio de alta notoriedad o demanda</t>
        </is>
      </c>
      <c r="C17" s="16" t="inlineStr">
        <is>
          <t>Comparar y gestionar saturación</t>
        </is>
      </c>
      <c r="D17" s="16" t="inlineStr">
        <is>
          <t>POPULAR</t>
        </is>
      </c>
    </row>
    <row r="18">
      <c r="A18" s="74" t="inlineStr">
        <is>
          <t>No aplica</t>
        </is>
      </c>
      <c r="B18" s="74" t="inlineStr">
        <is>
          <t>La etiqueta no aporta a esta entrada</t>
        </is>
      </c>
      <c r="C18" s="74" t="inlineStr">
        <is>
          <t>Conservar sin forzar clasificación</t>
        </is>
      </c>
      <c r="D18" s="74" t="inlineStr">
        <is>
          <t>N/A</t>
        </is>
      </c>
    </row>
    <row r="19">
      <c r="A19" s="82" t="inlineStr">
        <is>
          <t>Estado de información</t>
        </is>
      </c>
      <c r="B19" s="82" t="inlineStr">
        <is>
          <t>Definición</t>
        </is>
      </c>
      <c r="C19" s="82" t="n"/>
      <c r="D19" s="82" t="n"/>
    </row>
    <row r="20" ht="30" customHeight="1">
      <c r="A20" s="74" t="inlineStr">
        <is>
          <t>Verificado</t>
        </is>
      </c>
      <c r="B20" s="74" t="inlineStr">
        <is>
          <t>Dato estable respaldado por fuente actual</t>
        </is>
      </c>
      <c r="C20" s="74" t="n"/>
      <c r="D20" s="74" t="n"/>
    </row>
    <row r="21" ht="30" customHeight="1">
      <c r="A21" s="74" t="inlineStr">
        <is>
          <t>Pendiente</t>
        </is>
      </c>
      <c r="B21" s="74" t="inlineStr">
        <is>
          <t>Falta confirmación suficiente</t>
        </is>
      </c>
      <c r="C21" s="74" t="n"/>
      <c r="D21" s="74" t="n"/>
    </row>
    <row r="22" ht="30" customHeight="1">
      <c r="A22" s="74" t="inlineStr">
        <is>
          <t>Cambiante</t>
        </is>
      </c>
      <c r="B22" s="74" t="inlineStr">
        <is>
          <t>Dato verificado, pero precio/horario/operación puede variar</t>
        </is>
      </c>
      <c r="C22" s="74" t="n"/>
      <c r="D22" s="74" t="n"/>
    </row>
    <row r="23" ht="30" customHeight="1">
      <c r="A23" s="74" t="inlineStr">
        <is>
          <t>Requiere revisión cerca del viaje</t>
        </is>
      </c>
      <c r="B23" s="74" t="inlineStr">
        <is>
          <t>Necesita una nueva consulta por fecha, reserva o calendario</t>
        </is>
      </c>
      <c r="C23" s="74" t="n"/>
      <c r="D23" s="74" t="n"/>
    </row>
    <row r="24" ht="30" customHeight="1">
      <c r="A24" s="74" t="n"/>
      <c r="B24" s="74" t="n"/>
      <c r="C24" s="74" t="n"/>
      <c r="D24" s="74" t="n"/>
    </row>
    <row r="25" ht="30" customHeight="1">
      <c r="A25" s="82" t="inlineStr">
        <is>
          <t>Regla temporal 2027</t>
        </is>
      </c>
      <c r="B25" s="82" t="inlineStr">
        <is>
          <t>Definición</t>
        </is>
      </c>
      <c r="C25" s="82" t="n"/>
      <c r="D25" s="82" t="n"/>
    </row>
    <row r="26" ht="30" customHeight="1">
      <c r="A26" s="74" t="inlineStr">
        <is>
          <t>CONFIRMADO 2027</t>
        </is>
      </c>
      <c r="B26" s="74" t="inlineStr">
        <is>
          <t>Existe fuente oficial con fecha específica</t>
        </is>
      </c>
      <c r="C26" s="74" t="n"/>
      <c r="D26" s="74" t="n"/>
    </row>
    <row r="27" ht="30" customHeight="1">
      <c r="A27" s="74" t="inlineStr">
        <is>
          <t>PATRÓN HISTÓRICO / MUY PROBABLE</t>
        </is>
      </c>
      <c r="B27" s="74" t="inlineStr">
        <is>
          <t>Se celebra habitualmente, pero 2027 aún no está anunciado</t>
        </is>
      </c>
      <c r="C27" s="74" t="n"/>
      <c r="D27" s="74" t="n"/>
    </row>
    <row r="28" ht="48" customHeight="1">
      <c r="A28" s="74" t="inlineStr">
        <is>
          <t>PENDIENTE 2027</t>
        </is>
      </c>
      <c r="B28" s="74" t="inlineStr">
        <is>
          <t>No existe información suficiente; corte de verificación 2026-09-01</t>
        </is>
      </c>
      <c r="C28" s="74" t="n"/>
      <c r="D28" s="74" t="n"/>
    </row>
  </sheetData>
  <mergeCells count="2">
    <mergeCell ref="A1:D1"/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8" customWidth="1" min="4" max="4"/>
    <col width="28" customWidth="1" min="5" max="5"/>
    <col width="55" customWidth="1" min="6" max="6"/>
    <col width="46" customWidth="1" min="7" max="7"/>
    <col width="13" customWidth="1" min="8" max="8"/>
    <col width="24" customWidth="1" min="9" max="9"/>
  </cols>
  <sheetData>
    <row r="1" ht="30" customHeight="1">
      <c r="A1" s="75" t="inlineStr">
        <is>
          <t>ID</t>
        </is>
      </c>
      <c r="B1" s="75" t="inlineStr">
        <is>
          <t>Entrada</t>
        </is>
      </c>
      <c r="C1" s="75" t="inlineStr">
        <is>
          <t>Tipo de cambio</t>
        </is>
      </c>
      <c r="D1" s="75" t="inlineStr">
        <is>
          <t>Valor anterior</t>
        </is>
      </c>
      <c r="E1" s="75" t="inlineStr">
        <is>
          <t>Valor nuevo</t>
        </is>
      </c>
      <c r="F1" s="75" t="inlineStr">
        <is>
          <t>Motivo</t>
        </is>
      </c>
      <c r="G1" s="75" t="inlineStr">
        <is>
          <t>Fuente</t>
        </is>
      </c>
      <c r="H1" s="75" t="inlineStr">
        <is>
          <t>Fecha</t>
        </is>
      </c>
      <c r="I1" s="75" t="inlineStr">
        <is>
          <t>Estado</t>
        </is>
      </c>
    </row>
    <row r="2" ht="36" customHeight="1">
      <c r="A2" s="75" t="inlineStr">
        <is>
          <t>JP-002</t>
        </is>
      </c>
      <c r="B2" s="75" t="inlineStr">
        <is>
          <t>SHIBUYA SKY</t>
        </is>
      </c>
      <c r="C2" s="75" t="inlineStr">
        <is>
          <t>Reclasificación</t>
        </is>
      </c>
      <c r="D2" s="75" t="inlineStr">
        <is>
          <t>S</t>
        </is>
      </c>
      <c r="E2" s="75" t="inlineStr">
        <is>
          <t>A</t>
        </is>
      </c>
      <c r="F2" s="75" t="inlineStr">
        <is>
          <t>Clasificación v2: excelente y muy recomendable, pero no justifica por sí sola adaptar la ruta.</t>
        </is>
      </c>
      <c r="G2" s="75" t="inlineStr">
        <is>
          <t>Criterio editorial v2 S/A/B/C/D</t>
        </is>
      </c>
      <c r="H2" s="75" t="inlineStr">
        <is>
          <t>2026-09-01</t>
        </is>
      </c>
      <c r="I2" s="75" t="inlineStr">
        <is>
          <t>✅ ACEPTADA</t>
        </is>
      </c>
    </row>
    <row r="3" ht="36" customHeight="1">
      <c r="A3" s="75" t="inlineStr">
        <is>
          <t>JP-003</t>
        </is>
      </c>
      <c r="B3" s="75" t="inlineStr">
        <is>
          <t>Meiji Jingu</t>
        </is>
      </c>
      <c r="C3" s="75" t="inlineStr">
        <is>
          <t>Reclasificación</t>
        </is>
      </c>
      <c r="D3" s="75" t="inlineStr">
        <is>
          <t>S</t>
        </is>
      </c>
      <c r="E3" s="75" t="inlineStr">
        <is>
          <t>A</t>
        </is>
      </c>
      <c r="F3" s="75" t="inlineStr">
        <is>
          <t>Clasificación v2: excelente y muy recomendable, pero no justifica por sí sola adaptar la ruta.</t>
        </is>
      </c>
      <c r="G3" s="75" t="inlineStr">
        <is>
          <t>Criterio editorial v2 S/A/B/C/D</t>
        </is>
      </c>
      <c r="H3" s="75" t="inlineStr">
        <is>
          <t>2026-09-01</t>
        </is>
      </c>
      <c r="I3" s="75" t="inlineStr">
        <is>
          <t>✅ ACEPTADA</t>
        </is>
      </c>
    </row>
    <row r="4" ht="36" customHeight="1">
      <c r="A4" s="75" t="inlineStr">
        <is>
          <t>JP-010</t>
        </is>
      </c>
      <c r="B4" s="75" t="inlineStr">
        <is>
          <t>Shinjuku Gyoen National Garden</t>
        </is>
      </c>
      <c r="C4" s="75" t="inlineStr">
        <is>
          <t>Reclasificación</t>
        </is>
      </c>
      <c r="D4" s="75" t="inlineStr">
        <is>
          <t>S</t>
        </is>
      </c>
      <c r="E4" s="75" t="inlineStr">
        <is>
          <t>A</t>
        </is>
      </c>
      <c r="F4" s="75" t="inlineStr">
        <is>
          <t>Clasificación v2: excelente y muy recomendable, pero no justifica por sí sola adaptar la ruta.</t>
        </is>
      </c>
      <c r="G4" s="75" t="inlineStr">
        <is>
          <t>Criterio editorial v2 S/A/B/C/D</t>
        </is>
      </c>
      <c r="H4" s="75" t="inlineStr">
        <is>
          <t>2026-09-01</t>
        </is>
      </c>
      <c r="I4" s="75" t="inlineStr">
        <is>
          <t>✅ ACEPTADA</t>
        </is>
      </c>
    </row>
    <row r="5" ht="36" customHeight="1">
      <c r="A5" s="75" t="inlineStr">
        <is>
          <t>JP-016</t>
        </is>
      </c>
      <c r="B5" s="75" t="inlineStr">
        <is>
          <t>Sensō-ji</t>
        </is>
      </c>
      <c r="C5" s="75" t="inlineStr">
        <is>
          <t>Reclasificación</t>
        </is>
      </c>
      <c r="D5" s="75" t="inlineStr">
        <is>
          <t>S</t>
        </is>
      </c>
      <c r="E5" s="75" t="inlineStr">
        <is>
          <t>A</t>
        </is>
      </c>
      <c r="F5" s="75" t="inlineStr">
        <is>
          <t>Clasificación v2: excelente y muy recomendable, pero no justifica por sí sola adaptar la ruta.</t>
        </is>
      </c>
      <c r="G5" s="75" t="inlineStr">
        <is>
          <t>Criterio editorial v2 S/A/B/C/D</t>
        </is>
      </c>
      <c r="H5" s="75" t="inlineStr">
        <is>
          <t>2026-09-01</t>
        </is>
      </c>
      <c r="I5" s="75" t="inlineStr">
        <is>
          <t>✅ ACEPTADA</t>
        </is>
      </c>
    </row>
    <row r="6" ht="36" customHeight="1">
      <c r="A6" s="75" t="inlineStr">
        <is>
          <t>JP-019</t>
        </is>
      </c>
      <c r="B6" s="75" t="inlineStr">
        <is>
          <t>Tokyo Skytree</t>
        </is>
      </c>
      <c r="C6" s="75" t="inlineStr">
        <is>
          <t>Reclasificación</t>
        </is>
      </c>
      <c r="D6" s="75" t="inlineStr">
        <is>
          <t>A</t>
        </is>
      </c>
      <c r="E6" s="75" t="inlineStr">
        <is>
          <t>B</t>
        </is>
      </c>
      <c r="F6" s="75" t="inlineStr">
        <is>
          <t>Clasificación v2: recomendable si encaja; su valor depende más de interés, saturación o logística.</t>
        </is>
      </c>
      <c r="G6" s="75" t="inlineStr">
        <is>
          <t>Criterio editorial v2 S/A/B/C/D</t>
        </is>
      </c>
      <c r="H6" s="75" t="inlineStr">
        <is>
          <t>2026-09-01</t>
        </is>
      </c>
      <c r="I6" s="75" t="inlineStr">
        <is>
          <t>✅ ACEPTADA</t>
        </is>
      </c>
    </row>
    <row r="7" ht="36" customHeight="1">
      <c r="A7" s="75" t="inlineStr">
        <is>
          <t>JP-042</t>
        </is>
      </c>
      <c r="B7" s="75" t="inlineStr">
        <is>
          <t>Odaiba Seaside Park + Rainbow Bridge</t>
        </is>
      </c>
      <c r="C7" s="75" t="inlineStr">
        <is>
          <t>Reclasificación</t>
        </is>
      </c>
      <c r="D7" s="75" t="inlineStr">
        <is>
          <t>A</t>
        </is>
      </c>
      <c r="E7" s="75" t="inlineStr">
        <is>
          <t>B</t>
        </is>
      </c>
      <c r="F7" s="75" t="inlineStr">
        <is>
          <t>Clasificación v2: recomendable si encaja; su valor depende más de interés, saturación o logística.</t>
        </is>
      </c>
      <c r="G7" s="75" t="inlineStr">
        <is>
          <t>Criterio editorial v2 S/A/B/C/D</t>
        </is>
      </c>
      <c r="H7" s="75" t="inlineStr">
        <is>
          <t>2026-09-01</t>
        </is>
      </c>
      <c r="I7" s="75" t="inlineStr">
        <is>
          <t>✅ ACEPTADA</t>
        </is>
      </c>
    </row>
    <row r="8" ht="36" customHeight="1">
      <c r="A8" s="75" t="inlineStr">
        <is>
          <t>JP-047</t>
        </is>
      </c>
      <c r="B8" s="75" t="inlineStr">
        <is>
          <t>Edo-Tokyo Open Air Architectural Museum</t>
        </is>
      </c>
      <c r="C8" s="75" t="inlineStr">
        <is>
          <t>Reclasificación</t>
        </is>
      </c>
      <c r="D8" s="75" t="inlineStr">
        <is>
          <t>S</t>
        </is>
      </c>
      <c r="E8" s="75" t="inlineStr">
        <is>
          <t>A</t>
        </is>
      </c>
      <c r="F8" s="75" t="inlineStr">
        <is>
          <t>Clasificación v2: excelente y muy recomendable, pero no justifica por sí sola adaptar la ruta.</t>
        </is>
      </c>
      <c r="G8" s="75" t="inlineStr">
        <is>
          <t>Criterio editorial v2 S/A/B/C/D</t>
        </is>
      </c>
      <c r="H8" s="75" t="inlineStr">
        <is>
          <t>2026-09-01</t>
        </is>
      </c>
      <c r="I8" s="75" t="inlineStr">
        <is>
          <t>✅ ACEPTADA</t>
        </is>
      </c>
    </row>
    <row r="9" ht="36" customHeight="1">
      <c r="A9" s="75" t="inlineStr">
        <is>
          <t>JP-050</t>
        </is>
      </c>
      <c r="B9" s="75" t="inlineStr">
        <is>
          <t>PokéPark KANTO</t>
        </is>
      </c>
      <c r="C9" s="75" t="inlineStr">
        <is>
          <t>Reclasificación</t>
        </is>
      </c>
      <c r="D9" s="75" t="inlineStr">
        <is>
          <t>S</t>
        </is>
      </c>
      <c r="E9" s="75" t="inlineStr">
        <is>
          <t>A</t>
        </is>
      </c>
      <c r="F9" s="75" t="inlineStr">
        <is>
          <t>Clasificación v2: excelente y muy recomendable, pero no justifica por sí sola adaptar la ruta.</t>
        </is>
      </c>
      <c r="G9" s="75" t="inlineStr">
        <is>
          <t>Criterio editorial v2 S/A/B/C/D</t>
        </is>
      </c>
      <c r="H9" s="75" t="inlineStr">
        <is>
          <t>2026-09-01</t>
        </is>
      </c>
      <c r="I9" s="75" t="inlineStr">
        <is>
          <t>✅ ACEPTADA</t>
        </is>
      </c>
    </row>
    <row r="10" ht="36" customHeight="1">
      <c r="A10" s="75" t="inlineStr">
        <is>
          <t>JP-053</t>
        </is>
      </c>
      <c r="B10" s="75" t="inlineStr">
        <is>
          <t>Edo-Tokyo Museum</t>
        </is>
      </c>
      <c r="C10" s="75" t="inlineStr">
        <is>
          <t>Reclasificación</t>
        </is>
      </c>
      <c r="D10" s="75" t="inlineStr">
        <is>
          <t>S</t>
        </is>
      </c>
      <c r="E10" s="75" t="inlineStr">
        <is>
          <t>A</t>
        </is>
      </c>
      <c r="F10" s="75" t="inlineStr">
        <is>
          <t>Clasificación v2: excelente y muy recomendable, pero no justifica por sí sola adaptar la ruta.</t>
        </is>
      </c>
      <c r="G10" s="75" t="inlineStr">
        <is>
          <t>Criterio editorial v2 S/A/B/C/D</t>
        </is>
      </c>
      <c r="H10" s="75" t="inlineStr">
        <is>
          <t>2026-09-01</t>
        </is>
      </c>
      <c r="I10" s="75" t="inlineStr">
        <is>
          <t>✅ ACEPTADA</t>
        </is>
      </c>
    </row>
    <row r="11" ht="36" customHeight="1">
      <c r="A11" s="75" t="inlineStr">
        <is>
          <t>JP-060</t>
        </is>
      </c>
      <c r="B11" s="75" t="inlineStr">
        <is>
          <t>Nanzen-ji</t>
        </is>
      </c>
      <c r="C11" s="75" t="inlineStr">
        <is>
          <t>Reclasificación</t>
        </is>
      </c>
      <c r="D11" s="75" t="inlineStr">
        <is>
          <t>S</t>
        </is>
      </c>
      <c r="E11" s="75" t="inlineStr">
        <is>
          <t>A</t>
        </is>
      </c>
      <c r="F11" s="75" t="inlineStr">
        <is>
          <t>Clasificación v2: excelente y muy recomendable, pero no justifica por sí sola adaptar la ruta.</t>
        </is>
      </c>
      <c r="G11" s="75" t="inlineStr">
        <is>
          <t>Criterio editorial v2 S/A/B/C/D</t>
        </is>
      </c>
      <c r="H11" s="75" t="inlineStr">
        <is>
          <t>2026-09-01</t>
        </is>
      </c>
      <c r="I11" s="75" t="inlineStr">
        <is>
          <t>✅ ACEPTADA</t>
        </is>
      </c>
    </row>
    <row r="12" ht="36" customHeight="1">
      <c r="A12" s="75" t="inlineStr">
        <is>
          <t>JP-061</t>
        </is>
      </c>
      <c r="B12" s="75" t="inlineStr">
        <is>
          <t>Murin-an</t>
        </is>
      </c>
      <c r="C12" s="75" t="inlineStr">
        <is>
          <t>Reclasificación</t>
        </is>
      </c>
      <c r="D12" s="75" t="inlineStr">
        <is>
          <t>S</t>
        </is>
      </c>
      <c r="E12" s="75" t="inlineStr">
        <is>
          <t>A</t>
        </is>
      </c>
      <c r="F12" s="75" t="inlineStr">
        <is>
          <t>Clasificación v2: excelente y muy recomendable, pero no justifica por sí sola adaptar la ruta.</t>
        </is>
      </c>
      <c r="G12" s="75" t="inlineStr">
        <is>
          <t>Criterio editorial v2 S/A/B/C/D</t>
        </is>
      </c>
      <c r="H12" s="75" t="inlineStr">
        <is>
          <t>2026-09-01</t>
        </is>
      </c>
      <c r="I12" s="75" t="inlineStr">
        <is>
          <t>✅ ACEPTADA</t>
        </is>
      </c>
    </row>
    <row r="13" ht="36" customHeight="1">
      <c r="A13" s="75" t="inlineStr">
        <is>
          <t>JP-075</t>
        </is>
      </c>
      <c r="B13" s="75" t="inlineStr">
        <is>
          <t>Otagi Nenbutsu-ji</t>
        </is>
      </c>
      <c r="C13" s="75" t="inlineStr">
        <is>
          <t>Reclasificación</t>
        </is>
      </c>
      <c r="D13" s="75" t="inlineStr">
        <is>
          <t>S</t>
        </is>
      </c>
      <c r="E13" s="75" t="inlineStr">
        <is>
          <t>A</t>
        </is>
      </c>
      <c r="F13" s="75" t="inlineStr">
        <is>
          <t>Clasificación v2: excelente y muy recomendable, pero no justifica por sí sola adaptar la ruta.</t>
        </is>
      </c>
      <c r="G13" s="75" t="inlineStr">
        <is>
          <t>Criterio editorial v2 S/A/B/C/D</t>
        </is>
      </c>
      <c r="H13" s="75" t="inlineStr">
        <is>
          <t>2026-09-01</t>
        </is>
      </c>
      <c r="I13" s="75" t="inlineStr">
        <is>
          <t>✅ ACEPTADA</t>
        </is>
      </c>
    </row>
    <row r="14" ht="36" customHeight="1">
      <c r="A14" s="75" t="inlineStr">
        <is>
          <t>JP-080</t>
        </is>
      </c>
      <c r="B14" s="75" t="inlineStr">
        <is>
          <t>Kinkaku-ji</t>
        </is>
      </c>
      <c r="C14" s="75" t="inlineStr">
        <is>
          <t>Reclasificación</t>
        </is>
      </c>
      <c r="D14" s="75" t="inlineStr">
        <is>
          <t>A</t>
        </is>
      </c>
      <c r="E14" s="75" t="inlineStr">
        <is>
          <t>B</t>
        </is>
      </c>
      <c r="F14" s="75" t="inlineStr">
        <is>
          <t>Clasificación v2: recomendable si encaja; su valor depende más de interés, saturación o logística.</t>
        </is>
      </c>
      <c r="G14" s="75" t="inlineStr">
        <is>
          <t>Criterio editorial v2 S/A/B/C/D</t>
        </is>
      </c>
      <c r="H14" s="75" t="inlineStr">
        <is>
          <t>2026-09-01</t>
        </is>
      </c>
      <c r="I14" s="75" t="inlineStr">
        <is>
          <t>✅ ACEPTADA</t>
        </is>
      </c>
    </row>
    <row r="15" ht="36" customHeight="1">
      <c r="A15" s="75" t="inlineStr">
        <is>
          <t>JP-082</t>
        </is>
      </c>
      <c r="B15" s="75" t="inlineStr">
        <is>
          <t>Daitoku-ji subtemples</t>
        </is>
      </c>
      <c r="C15" s="75" t="inlineStr">
        <is>
          <t>Reclasificación</t>
        </is>
      </c>
      <c r="D15" s="75" t="inlineStr">
        <is>
          <t>S</t>
        </is>
      </c>
      <c r="E15" s="75" t="inlineStr">
        <is>
          <t>A</t>
        </is>
      </c>
      <c r="F15" s="75" t="inlineStr">
        <is>
          <t>Clasificación v2: excelente y muy recomendable, pero no justifica por sí sola adaptar la ruta.</t>
        </is>
      </c>
      <c r="G15" s="75" t="inlineStr">
        <is>
          <t>Criterio editorial v2 S/A/B/C/D</t>
        </is>
      </c>
      <c r="H15" s="75" t="inlineStr">
        <is>
          <t>2026-09-01</t>
        </is>
      </c>
      <c r="I15" s="75" t="inlineStr">
        <is>
          <t>✅ ACEPTADA</t>
        </is>
      </c>
    </row>
    <row r="16" ht="36" customHeight="1">
      <c r="A16" s="75" t="inlineStr">
        <is>
          <t>JP-085</t>
        </is>
      </c>
      <c r="B16" s="75" t="inlineStr">
        <is>
          <t>Kurama-dera to Kibune hike</t>
        </is>
      </c>
      <c r="C16" s="75" t="inlineStr">
        <is>
          <t>Reclasificación</t>
        </is>
      </c>
      <c r="D16" s="75" t="inlineStr">
        <is>
          <t>S</t>
        </is>
      </c>
      <c r="E16" s="75" t="inlineStr">
        <is>
          <t>A</t>
        </is>
      </c>
      <c r="F16" s="75" t="inlineStr">
        <is>
          <t>Clasificación v2: excelente y muy recomendable, pero no justifica por sí sola adaptar la ruta.</t>
        </is>
      </c>
      <c r="G16" s="75" t="inlineStr">
        <is>
          <t>Criterio editorial v2 S/A/B/C/D</t>
        </is>
      </c>
      <c r="H16" s="75" t="inlineStr">
        <is>
          <t>2026-09-01</t>
        </is>
      </c>
      <c r="I16" s="75" t="inlineStr">
        <is>
          <t>✅ ACEPTADA</t>
        </is>
      </c>
    </row>
    <row r="17" ht="36" customHeight="1">
      <c r="A17" s="75" t="inlineStr">
        <is>
          <t>JP-086</t>
        </is>
      </c>
      <c r="B17" s="75" t="inlineStr">
        <is>
          <t>Sanzen-in</t>
        </is>
      </c>
      <c r="C17" s="75" t="inlineStr">
        <is>
          <t>Reclasificación</t>
        </is>
      </c>
      <c r="D17" s="75" t="inlineStr">
        <is>
          <t>S</t>
        </is>
      </c>
      <c r="E17" s="75" t="inlineStr">
        <is>
          <t>A</t>
        </is>
      </c>
      <c r="F17" s="75" t="inlineStr">
        <is>
          <t>Clasificación v2: excelente y muy recomendable, pero no justifica por sí sola adaptar la ruta.</t>
        </is>
      </c>
      <c r="G17" s="75" t="inlineStr">
        <is>
          <t>Criterio editorial v2 S/A/B/C/D</t>
        </is>
      </c>
      <c r="H17" s="75" t="inlineStr">
        <is>
          <t>2026-09-01</t>
        </is>
      </c>
      <c r="I17" s="75" t="inlineStr">
        <is>
          <t>✅ ACEPTADA</t>
        </is>
      </c>
    </row>
    <row r="18" ht="36" customHeight="1">
      <c r="A18" s="75" t="inlineStr">
        <is>
          <t>JP-093</t>
        </is>
      </c>
      <c r="B18" s="75" t="inlineStr">
        <is>
          <t>Kyoto Railway Museum</t>
        </is>
      </c>
      <c r="C18" s="75" t="inlineStr">
        <is>
          <t>Reclasificación</t>
        </is>
      </c>
      <c r="D18" s="75" t="inlineStr">
        <is>
          <t>S</t>
        </is>
      </c>
      <c r="E18" s="75" t="inlineStr">
        <is>
          <t>A</t>
        </is>
      </c>
      <c r="F18" s="75" t="inlineStr">
        <is>
          <t>Clasificación v2: excelente y muy recomendable, pero no justifica por sí sola adaptar la ruta.</t>
        </is>
      </c>
      <c r="G18" s="75" t="inlineStr">
        <is>
          <t>Criterio editorial v2 S/A/B/C/D</t>
        </is>
      </c>
      <c r="H18" s="75" t="inlineStr">
        <is>
          <t>2026-09-01</t>
        </is>
      </c>
      <c r="I18" s="75" t="inlineStr">
        <is>
          <t>✅ ACEPTADA</t>
        </is>
      </c>
    </row>
    <row r="19" ht="36" customHeight="1">
      <c r="A19" s="75" t="inlineStr">
        <is>
          <t>JP-095</t>
        </is>
      </c>
      <c r="B19" s="75" t="inlineStr">
        <is>
          <t>teamLab Biovortex Kyoto</t>
        </is>
      </c>
      <c r="C19" s="75" t="inlineStr">
        <is>
          <t>Reclasificación</t>
        </is>
      </c>
      <c r="D19" s="75" t="inlineStr">
        <is>
          <t>S</t>
        </is>
      </c>
      <c r="E19" s="75" t="inlineStr">
        <is>
          <t>A</t>
        </is>
      </c>
      <c r="F19" s="75" t="inlineStr">
        <is>
          <t>Clasificación v2: excelente y muy recomendable, pero no justifica por sí sola adaptar la ruta.</t>
        </is>
      </c>
      <c r="G19" s="75" t="inlineStr">
        <is>
          <t>Criterio editorial v2 S/A/B/C/D</t>
        </is>
      </c>
      <c r="H19" s="75" t="inlineStr">
        <is>
          <t>2026-09-01</t>
        </is>
      </c>
      <c r="I19" s="75" t="inlineStr">
        <is>
          <t>✅ ACEPTADA</t>
        </is>
      </c>
    </row>
    <row r="20" ht="36" customHeight="1">
      <c r="A20" s="75" t="inlineStr">
        <is>
          <t>JP-098</t>
        </is>
      </c>
      <c r="B20" s="75" t="inlineStr">
        <is>
          <t>Byōdō-in</t>
        </is>
      </c>
      <c r="C20" s="75" t="inlineStr">
        <is>
          <t>Reclasificación</t>
        </is>
      </c>
      <c r="D20" s="75" t="inlineStr">
        <is>
          <t>S</t>
        </is>
      </c>
      <c r="E20" s="75" t="inlineStr">
        <is>
          <t>A</t>
        </is>
      </c>
      <c r="F20" s="75" t="inlineStr">
        <is>
          <t>Clasificación v2: excelente y muy recomendable, pero no justifica por sí sola adaptar la ruta.</t>
        </is>
      </c>
      <c r="G20" s="75" t="inlineStr">
        <is>
          <t>Criterio editorial v2 S/A/B/C/D</t>
        </is>
      </c>
      <c r="H20" s="75" t="inlineStr">
        <is>
          <t>2026-09-01</t>
        </is>
      </c>
      <c r="I20" s="75" t="inlineStr">
        <is>
          <t>✅ ACEPTADA</t>
        </is>
      </c>
    </row>
    <row r="21" ht="36" customHeight="1">
      <c r="A21" s="75" t="inlineStr">
        <is>
          <t>JP-100</t>
        </is>
      </c>
      <c r="B21" s="75" t="inlineStr">
        <is>
          <t>Uzumasa Kyoto Village / Toei Kyoto Studio Park</t>
        </is>
      </c>
      <c r="C21" s="75" t="inlineStr">
        <is>
          <t>Reclasificación</t>
        </is>
      </c>
      <c r="D21" s="75" t="inlineStr">
        <is>
          <t>A</t>
        </is>
      </c>
      <c r="E21" s="75" t="inlineStr">
        <is>
          <t>B</t>
        </is>
      </c>
      <c r="F21" s="75" t="inlineStr">
        <is>
          <t>Clasificación v2: recomendable si encaja; su valor depende más de interés, saturación o logística.</t>
        </is>
      </c>
      <c r="G21" s="75" t="inlineStr">
        <is>
          <t>Criterio editorial v2 S/A/B/C/D</t>
        </is>
      </c>
      <c r="H21" s="75" t="inlineStr">
        <is>
          <t>2026-09-01</t>
        </is>
      </c>
      <c r="I21" s="75" t="inlineStr">
        <is>
          <t>✅ ACEPTADA</t>
        </is>
      </c>
    </row>
    <row r="22" ht="36" customHeight="1">
      <c r="A22" s="75" t="inlineStr">
        <is>
          <t>JP-112</t>
        </is>
      </c>
      <c r="B22" s="75" t="inlineStr">
        <is>
          <t>Umeda Sky Building</t>
        </is>
      </c>
      <c r="C22" s="75" t="inlineStr">
        <is>
          <t>Reclasificación</t>
        </is>
      </c>
      <c r="D22" s="75" t="inlineStr">
        <is>
          <t>S</t>
        </is>
      </c>
      <c r="E22" s="75" t="inlineStr">
        <is>
          <t>A</t>
        </is>
      </c>
      <c r="F22" s="75" t="inlineStr">
        <is>
          <t>Clasificación v2: excelente y muy recomendable, pero no justifica por sí sola adaptar la ruta.</t>
        </is>
      </c>
      <c r="G22" s="75" t="inlineStr">
        <is>
          <t>Criterio editorial v2 S/A/B/C/D</t>
        </is>
      </c>
      <c r="H22" s="75" t="inlineStr">
        <is>
          <t>2026-09-01</t>
        </is>
      </c>
      <c r="I22" s="75" t="inlineStr">
        <is>
          <t>✅ ACEPTADA</t>
        </is>
      </c>
    </row>
    <row r="23" ht="36" customHeight="1">
      <c r="A23" s="75" t="inlineStr">
        <is>
          <t>JP-114</t>
        </is>
      </c>
      <c r="B23" s="75" t="inlineStr">
        <is>
          <t>Nakanoshima waterfront</t>
        </is>
      </c>
      <c r="C23" s="75" t="inlineStr">
        <is>
          <t>Reclasificación</t>
        </is>
      </c>
      <c r="D23" s="75" t="inlineStr">
        <is>
          <t>S</t>
        </is>
      </c>
      <c r="E23" s="75" t="inlineStr">
        <is>
          <t>A</t>
        </is>
      </c>
      <c r="F23" s="75" t="inlineStr">
        <is>
          <t>Clasificación v2: excelente y muy recomendable, pero no justifica por sí sola adaptar la ruta.</t>
        </is>
      </c>
      <c r="G23" s="75" t="inlineStr">
        <is>
          <t>Criterio editorial v2 S/A/B/C/D</t>
        </is>
      </c>
      <c r="H23" s="75" t="inlineStr">
        <is>
          <t>2026-09-01</t>
        </is>
      </c>
      <c r="I23" s="75" t="inlineStr">
        <is>
          <t>✅ ACEPTADA</t>
        </is>
      </c>
    </row>
    <row r="24" ht="36" customHeight="1">
      <c r="A24" s="75" t="inlineStr">
        <is>
          <t>JP-121</t>
        </is>
      </c>
      <c r="B24" s="75" t="inlineStr">
        <is>
          <t>Expo ’70 Park + Tower of the Sun</t>
        </is>
      </c>
      <c r="C24" s="75" t="inlineStr">
        <is>
          <t>Reclasificación</t>
        </is>
      </c>
      <c r="D24" s="75" t="inlineStr">
        <is>
          <t>S</t>
        </is>
      </c>
      <c r="E24" s="75" t="inlineStr">
        <is>
          <t>A</t>
        </is>
      </c>
      <c r="F24" s="75" t="inlineStr">
        <is>
          <t>Clasificación v2: excelente y muy recomendable, pero no justifica por sí sola adaptar la ruta.</t>
        </is>
      </c>
      <c r="G24" s="75" t="inlineStr">
        <is>
          <t>Criterio editorial v2 S/A/B/C/D</t>
        </is>
      </c>
      <c r="H24" s="75" t="inlineStr">
        <is>
          <t>2026-09-01</t>
        </is>
      </c>
      <c r="I24" s="75" t="inlineStr">
        <is>
          <t>✅ ACEPTADA</t>
        </is>
      </c>
    </row>
    <row r="25" ht="36" customHeight="1">
      <c r="A25" s="75" t="inlineStr">
        <is>
          <t>JP-123</t>
        </is>
      </c>
      <c r="B25" s="75" t="inlineStr">
        <is>
          <t>Church of the Light</t>
        </is>
      </c>
      <c r="C25" s="75" t="inlineStr">
        <is>
          <t>Reclasificación</t>
        </is>
      </c>
      <c r="D25" s="75" t="inlineStr">
        <is>
          <t>A</t>
        </is>
      </c>
      <c r="E25" s="75" t="inlineStr">
        <is>
          <t>B</t>
        </is>
      </c>
      <c r="F25" s="75" t="inlineStr">
        <is>
          <t>Clasificación v2: recomendable si encaja; su valor depende más de interés, saturación o logística.</t>
        </is>
      </c>
      <c r="G25" s="75" t="inlineStr">
        <is>
          <t>Criterio editorial v2 S/A/B/C/D</t>
        </is>
      </c>
      <c r="H25" s="75" t="inlineStr">
        <is>
          <t>2026-09-01</t>
        </is>
      </c>
      <c r="I25" s="75" t="inlineStr">
        <is>
          <t>✅ ACEPTADA</t>
        </is>
      </c>
    </row>
    <row r="26" ht="36" customHeight="1">
      <c r="A26" s="75" t="inlineStr">
        <is>
          <t>JP-124</t>
        </is>
      </c>
      <c r="B26" s="75" t="inlineStr">
        <is>
          <t>Osaka Aquarium Kaiyukan</t>
        </is>
      </c>
      <c r="C26" s="75" t="inlineStr">
        <is>
          <t>Reclasificación</t>
        </is>
      </c>
      <c r="D26" s="75" t="inlineStr">
        <is>
          <t>S</t>
        </is>
      </c>
      <c r="E26" s="75" t="inlineStr">
        <is>
          <t>A</t>
        </is>
      </c>
      <c r="F26" s="75" t="inlineStr">
        <is>
          <t>Clasificación v2: excelente y muy recomendable, pero no justifica por sí sola adaptar la ruta.</t>
        </is>
      </c>
      <c r="G26" s="75" t="inlineStr">
        <is>
          <t>Criterio editorial v2 S/A/B/C/D</t>
        </is>
      </c>
      <c r="H26" s="75" t="inlineStr">
        <is>
          <t>2026-09-01</t>
        </is>
      </c>
      <c r="I26" s="75" t="inlineStr">
        <is>
          <t>✅ ACEPTADA</t>
        </is>
      </c>
    </row>
    <row r="27" ht="36" customHeight="1">
      <c r="A27" s="75" t="inlineStr">
        <is>
          <t>JP-131</t>
        </is>
      </c>
      <c r="B27" s="75" t="inlineStr">
        <is>
          <t>Kasuga Taisha</t>
        </is>
      </c>
      <c r="C27" s="75" t="inlineStr">
        <is>
          <t>Reclasificación</t>
        </is>
      </c>
      <c r="D27" s="75" t="inlineStr">
        <is>
          <t>S</t>
        </is>
      </c>
      <c r="E27" s="75" t="inlineStr">
        <is>
          <t>A</t>
        </is>
      </c>
      <c r="F27" s="75" t="inlineStr">
        <is>
          <t>Clasificación v2: excelente y muy recomendable, pero no justifica por sí sola adaptar la ruta.</t>
        </is>
      </c>
      <c r="G27" s="75" t="inlineStr">
        <is>
          <t>Criterio editorial v2 S/A/B/C/D</t>
        </is>
      </c>
      <c r="H27" s="75" t="inlineStr">
        <is>
          <t>2026-09-01</t>
        </is>
      </c>
      <c r="I27" s="75" t="inlineStr">
        <is>
          <t>✅ ACEPTADA</t>
        </is>
      </c>
    </row>
    <row r="28" ht="36" customHeight="1">
      <c r="A28" s="75" t="inlineStr">
        <is>
          <t>JP-137</t>
        </is>
      </c>
      <c r="B28" s="75" t="inlineStr">
        <is>
          <t>Engyō-ji on Mount Shosha</t>
        </is>
      </c>
      <c r="C28" s="75" t="inlineStr">
        <is>
          <t>Reclasificación</t>
        </is>
      </c>
      <c r="D28" s="75" t="inlineStr">
        <is>
          <t>S</t>
        </is>
      </c>
      <c r="E28" s="75" t="inlineStr">
        <is>
          <t>A</t>
        </is>
      </c>
      <c r="F28" s="75" t="inlineStr">
        <is>
          <t>Clasificación v2: excelente y muy recomendable, pero no justifica por sí sola adaptar la ruta.</t>
        </is>
      </c>
      <c r="G28" s="75" t="inlineStr">
        <is>
          <t>Criterio editorial v2 S/A/B/C/D</t>
        </is>
      </c>
      <c r="H28" s="75" t="inlineStr">
        <is>
          <t>2026-09-01</t>
        </is>
      </c>
      <c r="I28" s="75" t="inlineStr">
        <is>
          <t>✅ ACEPTADA</t>
        </is>
      </c>
    </row>
    <row r="29" ht="36" customHeight="1">
      <c r="A29" s="75" t="inlineStr">
        <is>
          <t>JP-140</t>
        </is>
      </c>
      <c r="B29" s="75" t="inlineStr">
        <is>
          <t>Mount Rokko night view</t>
        </is>
      </c>
      <c r="C29" s="75" t="inlineStr">
        <is>
          <t>Reclasificación</t>
        </is>
      </c>
      <c r="D29" s="75" t="inlineStr">
        <is>
          <t>A</t>
        </is>
      </c>
      <c r="E29" s="75" t="inlineStr">
        <is>
          <t>B</t>
        </is>
      </c>
      <c r="F29" s="75" t="inlineStr">
        <is>
          <t>Clasificación v2: recomendable si encaja; su valor depende más de interés, saturación o logística.</t>
        </is>
      </c>
      <c r="G29" s="75" t="inlineStr">
        <is>
          <t>Criterio editorial v2 S/A/B/C/D</t>
        </is>
      </c>
      <c r="H29" s="75" t="inlineStr">
        <is>
          <t>2026-09-01</t>
        </is>
      </c>
      <c r="I29" s="75" t="inlineStr">
        <is>
          <t>✅ ACEPTADA</t>
        </is>
      </c>
    </row>
    <row r="30" ht="36" customHeight="1">
      <c r="A30" s="75" t="inlineStr">
        <is>
          <t>JP-146</t>
        </is>
      </c>
      <c r="B30" s="75" t="inlineStr">
        <is>
          <t>Tomogashima</t>
        </is>
      </c>
      <c r="C30" s="75" t="inlineStr">
        <is>
          <t>Reclasificación</t>
        </is>
      </c>
      <c r="D30" s="75" t="inlineStr">
        <is>
          <t>S</t>
        </is>
      </c>
      <c r="E30" s="75" t="inlineStr">
        <is>
          <t>A</t>
        </is>
      </c>
      <c r="F30" s="75" t="inlineStr">
        <is>
          <t>Clasificación v2: excelente y muy recomendable, pero no justifica por sí sola adaptar la ruta.</t>
        </is>
      </c>
      <c r="G30" s="75" t="inlineStr">
        <is>
          <t>Criterio editorial v2 S/A/B/C/D</t>
        </is>
      </c>
      <c r="H30" s="75" t="inlineStr">
        <is>
          <t>2026-09-01</t>
        </is>
      </c>
      <c r="I30" s="75" t="inlineStr">
        <is>
          <t>✅ ACEPTADA</t>
        </is>
      </c>
    </row>
    <row r="31" ht="36" customHeight="1">
      <c r="A31" s="75" t="inlineStr">
        <is>
          <t>JP-147</t>
        </is>
      </c>
      <c r="B31" s="75" t="inlineStr">
        <is>
          <t>Enryaku-ji</t>
        </is>
      </c>
      <c r="C31" s="75" t="inlineStr">
        <is>
          <t>Reclasificación</t>
        </is>
      </c>
      <c r="D31" s="75" t="inlineStr">
        <is>
          <t>S</t>
        </is>
      </c>
      <c r="E31" s="75" t="inlineStr">
        <is>
          <t>A</t>
        </is>
      </c>
      <c r="F31" s="75" t="inlineStr">
        <is>
          <t>Clasificación v2: excelente y muy recomendable, pero no justifica por sí sola adaptar la ruta.</t>
        </is>
      </c>
      <c r="G31" s="75" t="inlineStr">
        <is>
          <t>Criterio editorial v2 S/A/B/C/D</t>
        </is>
      </c>
      <c r="H31" s="75" t="inlineStr">
        <is>
          <t>2026-09-01</t>
        </is>
      </c>
      <c r="I31" s="75" t="inlineStr">
        <is>
          <t>✅ ACEPTADA</t>
        </is>
      </c>
    </row>
    <row r="32" ht="36" customHeight="1">
      <c r="A32" s="75" t="inlineStr">
        <is>
          <t>JP-149</t>
        </is>
      </c>
      <c r="B32" s="75" t="inlineStr">
        <is>
          <t>MIHO Museum</t>
        </is>
      </c>
      <c r="C32" s="75" t="inlineStr">
        <is>
          <t>Reclasificación</t>
        </is>
      </c>
      <c r="D32" s="75" t="inlineStr">
        <is>
          <t>S</t>
        </is>
      </c>
      <c r="E32" s="75" t="inlineStr">
        <is>
          <t>A</t>
        </is>
      </c>
      <c r="F32" s="75" t="inlineStr">
        <is>
          <t>Clasificación v2: excelente y muy recomendable, pero no justifica por sí sola adaptar la ruta.</t>
        </is>
      </c>
      <c r="G32" s="75" t="inlineStr">
        <is>
          <t>Criterio editorial v2 S/A/B/C/D</t>
        </is>
      </c>
      <c r="H32" s="75" t="inlineStr">
        <is>
          <t>2026-09-01</t>
        </is>
      </c>
      <c r="I32" s="75" t="inlineStr">
        <is>
          <t>✅ ACEPTADA</t>
        </is>
      </c>
    </row>
    <row r="33" ht="36" customHeight="1">
      <c r="A33" s="75" t="inlineStr">
        <is>
          <t>JP-150</t>
        </is>
      </c>
      <c r="B33" s="75" t="inlineStr">
        <is>
          <t>Amanohashidate</t>
        </is>
      </c>
      <c r="C33" s="75" t="inlineStr">
        <is>
          <t>Reclasificación</t>
        </is>
      </c>
      <c r="D33" s="75" t="inlineStr">
        <is>
          <t>A</t>
        </is>
      </c>
      <c r="E33" s="75" t="inlineStr">
        <is>
          <t>B</t>
        </is>
      </c>
      <c r="F33" s="75" t="inlineStr">
        <is>
          <t>Clasificación v2: recomendable si encaja; su valor depende más de interés, saturación o logística.</t>
        </is>
      </c>
      <c r="G33" s="75" t="inlineStr">
        <is>
          <t>Criterio editorial v2 S/A/B/C/D</t>
        </is>
      </c>
      <c r="H33" s="75" t="inlineStr">
        <is>
          <t>2026-09-01</t>
        </is>
      </c>
      <c r="I33" s="75" t="inlineStr">
        <is>
          <t>✅ ACEPTADA</t>
        </is>
      </c>
    </row>
    <row r="34" ht="36" customHeight="1">
      <c r="A34" s="75" t="inlineStr">
        <is>
          <t>JP-151</t>
        </is>
      </c>
      <c r="B34" s="75" t="inlineStr">
        <is>
          <t>Ine Funaya</t>
        </is>
      </c>
      <c r="C34" s="75" t="inlineStr">
        <is>
          <t>Reclasificación</t>
        </is>
      </c>
      <c r="D34" s="75" t="inlineStr">
        <is>
          <t>S</t>
        </is>
      </c>
      <c r="E34" s="75" t="inlineStr">
        <is>
          <t>A</t>
        </is>
      </c>
      <c r="F34" s="75" t="inlineStr">
        <is>
          <t>Clasificación v2: excelente y muy recomendable, pero no justifica por sí sola adaptar la ruta.</t>
        </is>
      </c>
      <c r="G34" s="75" t="inlineStr">
        <is>
          <t>Criterio editorial v2 S/A/B/C/D</t>
        </is>
      </c>
      <c r="H34" s="75" t="inlineStr">
        <is>
          <t>2026-09-01</t>
        </is>
      </c>
      <c r="I34" s="75" t="inlineStr">
        <is>
          <t>✅ ACEPTADA</t>
        </is>
      </c>
    </row>
    <row r="35" ht="36" customHeight="1">
      <c r="A35" s="75" t="inlineStr">
        <is>
          <t>JP-161</t>
        </is>
      </c>
      <c r="B35" s="75" t="inlineStr">
        <is>
          <t>Okinawa Prefectural Museum &amp; Art Museum</t>
        </is>
      </c>
      <c r="C35" s="75" t="inlineStr">
        <is>
          <t>Reclasificación</t>
        </is>
      </c>
      <c r="D35" s="75" t="inlineStr">
        <is>
          <t>S</t>
        </is>
      </c>
      <c r="E35" s="75" t="inlineStr">
        <is>
          <t>A</t>
        </is>
      </c>
      <c r="F35" s="75" t="inlineStr">
        <is>
          <t>Clasificación v2: excelente y muy recomendable, pero no justifica por sí sola adaptar la ruta.</t>
        </is>
      </c>
      <c r="G35" s="75" t="inlineStr">
        <is>
          <t>Criterio editorial v2 S/A/B/C/D</t>
        </is>
      </c>
      <c r="H35" s="75" t="inlineStr">
        <is>
          <t>2026-09-01</t>
        </is>
      </c>
      <c r="I35" s="75" t="inlineStr">
        <is>
          <t>✅ ACEPTADA</t>
        </is>
      </c>
    </row>
    <row r="36" ht="36" customHeight="1">
      <c r="A36" s="75" t="inlineStr">
        <is>
          <t>JP-163</t>
        </is>
      </c>
      <c r="B36" s="75" t="inlineStr">
        <is>
          <t>Valley of Gangala</t>
        </is>
      </c>
      <c r="C36" s="75" t="inlineStr">
        <is>
          <t>Reclasificación</t>
        </is>
      </c>
      <c r="D36" s="75" t="inlineStr">
        <is>
          <t>S</t>
        </is>
      </c>
      <c r="E36" s="75" t="inlineStr">
        <is>
          <t>A</t>
        </is>
      </c>
      <c r="F36" s="75" t="inlineStr">
        <is>
          <t>Clasificación v2: excelente y muy recomendable, pero no justifica por sí sola adaptar la ruta.</t>
        </is>
      </c>
      <c r="G36" s="75" t="inlineStr">
        <is>
          <t>Criterio editorial v2 S/A/B/C/D</t>
        </is>
      </c>
      <c r="H36" s="75" t="inlineStr">
        <is>
          <t>2026-09-01</t>
        </is>
      </c>
      <c r="I36" s="75" t="inlineStr">
        <is>
          <t>✅ ACEPTADA</t>
        </is>
      </c>
    </row>
    <row r="37" ht="36" customHeight="1">
      <c r="A37" s="75" t="inlineStr">
        <is>
          <t>JP-165</t>
        </is>
      </c>
      <c r="B37" s="75" t="inlineStr">
        <is>
          <t>Kudaka Island</t>
        </is>
      </c>
      <c r="C37" s="75" t="inlineStr">
        <is>
          <t>Reclasificación</t>
        </is>
      </c>
      <c r="D37" s="75" t="inlineStr">
        <is>
          <t>S</t>
        </is>
      </c>
      <c r="E37" s="75" t="inlineStr">
        <is>
          <t>A</t>
        </is>
      </c>
      <c r="F37" s="75" t="inlineStr">
        <is>
          <t>Clasificación v2: excelente y muy recomendable, pero no justifica por sí sola adaptar la ruta.</t>
        </is>
      </c>
      <c r="G37" s="75" t="inlineStr">
        <is>
          <t>Criterio editorial v2 S/A/B/C/D</t>
        </is>
      </c>
      <c r="H37" s="75" t="inlineStr">
        <is>
          <t>2026-09-01</t>
        </is>
      </c>
      <c r="I37" s="75" t="inlineStr">
        <is>
          <t>✅ ACEPTADA</t>
        </is>
      </c>
    </row>
    <row r="38" ht="36" customHeight="1">
      <c r="A38" s="75" t="inlineStr">
        <is>
          <t>JP-168</t>
        </is>
      </c>
      <c r="B38" s="75" t="inlineStr">
        <is>
          <t>Yachimun no Sato</t>
        </is>
      </c>
      <c r="C38" s="75" t="inlineStr">
        <is>
          <t>Reclasificación</t>
        </is>
      </c>
      <c r="D38" s="75" t="inlineStr">
        <is>
          <t>S</t>
        </is>
      </c>
      <c r="E38" s="75" t="inlineStr">
        <is>
          <t>A</t>
        </is>
      </c>
      <c r="F38" s="75" t="inlineStr">
        <is>
          <t>Clasificación v2: excelente y muy recomendable, pero no justifica por sí sola adaptar la ruta.</t>
        </is>
      </c>
      <c r="G38" s="75" t="inlineStr">
        <is>
          <t>Criterio editorial v2 S/A/B/C/D</t>
        </is>
      </c>
      <c r="H38" s="75" t="inlineStr">
        <is>
          <t>2026-09-01</t>
        </is>
      </c>
      <c r="I38" s="75" t="inlineStr">
        <is>
          <t>✅ ACEPTADA</t>
        </is>
      </c>
    </row>
    <row r="39" ht="36" customHeight="1">
      <c r="A39" s="75" t="inlineStr">
        <is>
          <t>JP-170</t>
        </is>
      </c>
      <c r="B39" s="75" t="inlineStr">
        <is>
          <t>Katsuren Castle Ruins</t>
        </is>
      </c>
      <c r="C39" s="75" t="inlineStr">
        <is>
          <t>Reclasificación</t>
        </is>
      </c>
      <c r="D39" s="75" t="inlineStr">
        <is>
          <t>S</t>
        </is>
      </c>
      <c r="E39" s="75" t="inlineStr">
        <is>
          <t>A</t>
        </is>
      </c>
      <c r="F39" s="75" t="inlineStr">
        <is>
          <t>Clasificación v2: excelente y muy recomendable, pero no justifica por sí sola adaptar la ruta.</t>
        </is>
      </c>
      <c r="G39" s="75" t="inlineStr">
        <is>
          <t>Criterio editorial v2 S/A/B/C/D</t>
        </is>
      </c>
      <c r="H39" s="75" t="inlineStr">
        <is>
          <t>2026-09-01</t>
        </is>
      </c>
      <c r="I39" s="75" t="inlineStr">
        <is>
          <t>✅ ACEPTADA</t>
        </is>
      </c>
    </row>
    <row r="40" ht="36" customHeight="1">
      <c r="A40" s="75" t="inlineStr">
        <is>
          <t>JP-171</t>
        </is>
      </c>
      <c r="B40" s="75" t="inlineStr">
        <is>
          <t>Blue Cave at Cape Maeda</t>
        </is>
      </c>
      <c r="C40" s="75" t="inlineStr">
        <is>
          <t>Reclasificación</t>
        </is>
      </c>
      <c r="D40" s="75" t="inlineStr">
        <is>
          <t>A</t>
        </is>
      </c>
      <c r="E40" s="75" t="inlineStr">
        <is>
          <t>B</t>
        </is>
      </c>
      <c r="F40" s="75" t="inlineStr">
        <is>
          <t>Clasificación v2: recomendable si encaja; su valor depende más de interés, saturación o logística.</t>
        </is>
      </c>
      <c r="G40" s="75" t="inlineStr">
        <is>
          <t>Criterio editorial v2 S/A/B/C/D</t>
        </is>
      </c>
      <c r="H40" s="75" t="inlineStr">
        <is>
          <t>2026-09-01</t>
        </is>
      </c>
      <c r="I40" s="75" t="inlineStr">
        <is>
          <t>✅ ACEPTADA</t>
        </is>
      </c>
    </row>
    <row r="41" ht="36" customHeight="1">
      <c r="A41" s="75" t="inlineStr">
        <is>
          <t>JP-174</t>
        </is>
      </c>
      <c r="B41" s="75" t="inlineStr">
        <is>
          <t>Bise Fukugi Tree Road</t>
        </is>
      </c>
      <c r="C41" s="75" t="inlineStr">
        <is>
          <t>Reclasificación</t>
        </is>
      </c>
      <c r="D41" s="75" t="inlineStr">
        <is>
          <t>S</t>
        </is>
      </c>
      <c r="E41" s="75" t="inlineStr">
        <is>
          <t>A</t>
        </is>
      </c>
      <c r="F41" s="75" t="inlineStr">
        <is>
          <t>Clasificación v2: excelente y muy recomendable, pero no justifica por sí sola adaptar la ruta.</t>
        </is>
      </c>
      <c r="G41" s="75" t="inlineStr">
        <is>
          <t>Criterio editorial v2 S/A/B/C/D</t>
        </is>
      </c>
      <c r="H41" s="75" t="inlineStr">
        <is>
          <t>2026-09-01</t>
        </is>
      </c>
      <c r="I41" s="75" t="inlineStr">
        <is>
          <t>✅ ACEPTADA</t>
        </is>
      </c>
    </row>
    <row r="42" ht="36" customHeight="1">
      <c r="A42" s="75" t="inlineStr">
        <is>
          <t>JP-175</t>
        </is>
      </c>
      <c r="B42" s="75" t="inlineStr">
        <is>
          <t>Nakijin Castle Ruins</t>
        </is>
      </c>
      <c r="C42" s="75" t="inlineStr">
        <is>
          <t>Reclasificación</t>
        </is>
      </c>
      <c r="D42" s="75" t="inlineStr">
        <is>
          <t>S</t>
        </is>
      </c>
      <c r="E42" s="75" t="inlineStr">
        <is>
          <t>A</t>
        </is>
      </c>
      <c r="F42" s="75" t="inlineStr">
        <is>
          <t>Clasificación v2: excelente y muy recomendable, pero no justifica por sí sola adaptar la ruta.</t>
        </is>
      </c>
      <c r="G42" s="75" t="inlineStr">
        <is>
          <t>Criterio editorial v2 S/A/B/C/D</t>
        </is>
      </c>
      <c r="H42" s="75" t="inlineStr">
        <is>
          <t>2026-09-01</t>
        </is>
      </c>
      <c r="I42" s="75" t="inlineStr">
        <is>
          <t>✅ ACEPTADA</t>
        </is>
      </c>
    </row>
    <row r="43" ht="36" customHeight="1">
      <c r="A43" s="75" t="inlineStr">
        <is>
          <t>JP-181</t>
        </is>
      </c>
      <c r="B43" s="75" t="inlineStr">
        <is>
          <t>ASMUI Spiritual Hikes</t>
        </is>
      </c>
      <c r="C43" s="75" t="inlineStr">
        <is>
          <t>Reclasificación</t>
        </is>
      </c>
      <c r="D43" s="75" t="inlineStr">
        <is>
          <t>S</t>
        </is>
      </c>
      <c r="E43" s="75" t="inlineStr">
        <is>
          <t>A</t>
        </is>
      </c>
      <c r="F43" s="75" t="inlineStr">
        <is>
          <t>Clasificación v2: excelente y muy recomendable, pero no justifica por sí sola adaptar la ruta.</t>
        </is>
      </c>
      <c r="G43" s="75" t="inlineStr">
        <is>
          <t>Criterio editorial v2 S/A/B/C/D</t>
        </is>
      </c>
      <c r="H43" s="75" t="inlineStr">
        <is>
          <t>2026-09-01</t>
        </is>
      </c>
      <c r="I43" s="75" t="inlineStr">
        <is>
          <t>✅ ACEPTADA</t>
        </is>
      </c>
    </row>
    <row r="44" ht="36" customHeight="1">
      <c r="A44" s="75" t="inlineStr">
        <is>
          <t>JP-183</t>
        </is>
      </c>
      <c r="B44" s="75" t="inlineStr">
        <is>
          <t>Gesashi Bay Mangrove Kayak</t>
        </is>
      </c>
      <c r="C44" s="75" t="inlineStr">
        <is>
          <t>Reclasificación</t>
        </is>
      </c>
      <c r="D44" s="75" t="inlineStr">
        <is>
          <t>S</t>
        </is>
      </c>
      <c r="E44" s="75" t="inlineStr">
        <is>
          <t>A</t>
        </is>
      </c>
      <c r="F44" s="75" t="inlineStr">
        <is>
          <t>Clasificación v2: excelente y muy recomendable, pero no justifica por sí sola adaptar la ruta.</t>
        </is>
      </c>
      <c r="G44" s="75" t="inlineStr">
        <is>
          <t>Criterio editorial v2 S/A/B/C/D</t>
        </is>
      </c>
      <c r="H44" s="75" t="inlineStr">
        <is>
          <t>2026-09-01</t>
        </is>
      </c>
      <c r="I44" s="75" t="inlineStr">
        <is>
          <t>✅ ACEPTADA</t>
        </is>
      </c>
    </row>
    <row r="45" ht="36" customHeight="1">
      <c r="A45" s="75" t="inlineStr">
        <is>
          <t>JP-185</t>
        </is>
      </c>
      <c r="B45" s="75" t="inlineStr">
        <is>
          <t>Furuzamami Beach</t>
        </is>
      </c>
      <c r="C45" s="75" t="inlineStr">
        <is>
          <t>Reclasificación</t>
        </is>
      </c>
      <c r="D45" s="75" t="inlineStr">
        <is>
          <t>S</t>
        </is>
      </c>
      <c r="E45" s="75" t="inlineStr">
        <is>
          <t>A</t>
        </is>
      </c>
      <c r="F45" s="75" t="inlineStr">
        <is>
          <t>Clasificación v2: excelente y muy recomendable, pero no justifica por sí sola adaptar la ruta.</t>
        </is>
      </c>
      <c r="G45" s="75" t="inlineStr">
        <is>
          <t>Criterio editorial v2 S/A/B/C/D</t>
        </is>
      </c>
      <c r="H45" s="75" t="inlineStr">
        <is>
          <t>2026-09-01</t>
        </is>
      </c>
      <c r="I45" s="75" t="inlineStr">
        <is>
          <t>✅ ACEPTADA</t>
        </is>
      </c>
    </row>
    <row r="46" ht="36" customHeight="1">
      <c r="A46" s="75" t="inlineStr">
        <is>
          <t>JP-186</t>
        </is>
      </c>
      <c r="B46" s="75" t="inlineStr">
        <is>
          <t>Aka Island</t>
        </is>
      </c>
      <c r="C46" s="75" t="inlineStr">
        <is>
          <t>Reclasificación</t>
        </is>
      </c>
      <c r="D46" s="75" t="inlineStr">
        <is>
          <t>S</t>
        </is>
      </c>
      <c r="E46" s="75" t="inlineStr">
        <is>
          <t>A</t>
        </is>
      </c>
      <c r="F46" s="75" t="inlineStr">
        <is>
          <t>Clasificación v2: excelente y muy recomendable, pero no justifica por sí sola adaptar la ruta.</t>
        </is>
      </c>
      <c r="G46" s="75" t="inlineStr">
        <is>
          <t>Criterio editorial v2 S/A/B/C/D</t>
        </is>
      </c>
      <c r="H46" s="75" t="inlineStr">
        <is>
          <t>2026-09-01</t>
        </is>
      </c>
      <c r="I46" s="75" t="inlineStr">
        <is>
          <t>✅ ACEPTADA</t>
        </is>
      </c>
    </row>
    <row r="47" ht="36" customHeight="1">
      <c r="A47" s="75" t="inlineStr">
        <is>
          <t>JP-191</t>
        </is>
      </c>
      <c r="B47" s="75" t="inlineStr">
        <is>
          <t>Yabiji coral reef</t>
        </is>
      </c>
      <c r="C47" s="75" t="inlineStr">
        <is>
          <t>Reclasificación</t>
        </is>
      </c>
      <c r="D47" s="75" t="inlineStr">
        <is>
          <t>S</t>
        </is>
      </c>
      <c r="E47" s="75" t="inlineStr">
        <is>
          <t>A</t>
        </is>
      </c>
      <c r="F47" s="75" t="inlineStr">
        <is>
          <t>Clasificación v2: excelente y muy recomendable, pero no justifica por sí sola adaptar la ruta.</t>
        </is>
      </c>
      <c r="G47" s="75" t="inlineStr">
        <is>
          <t>Criterio editorial v2 S/A/B/C/D</t>
        </is>
      </c>
      <c r="H47" s="75" t="inlineStr">
        <is>
          <t>2026-09-01</t>
        </is>
      </c>
      <c r="I47" s="75" t="inlineStr">
        <is>
          <t>✅ ACEPTADA</t>
        </is>
      </c>
    </row>
    <row r="48" ht="36" customHeight="1">
      <c r="A48" s="75" t="inlineStr">
        <is>
          <t>JP-195</t>
        </is>
      </c>
      <c r="B48" s="75" t="inlineStr">
        <is>
          <t>Yaeyama stargazing experience</t>
        </is>
      </c>
      <c r="C48" s="75" t="inlineStr">
        <is>
          <t>Reclasificación</t>
        </is>
      </c>
      <c r="D48" s="75" t="inlineStr">
        <is>
          <t>S</t>
        </is>
      </c>
      <c r="E48" s="75" t="inlineStr">
        <is>
          <t>A</t>
        </is>
      </c>
      <c r="F48" s="75" t="inlineStr">
        <is>
          <t>Clasificación v2: excelente y muy recomendable, pero no justifica por sí sola adaptar la ruta.</t>
        </is>
      </c>
      <c r="G48" s="75" t="inlineStr">
        <is>
          <t>Criterio editorial v2 S/A/B/C/D</t>
        </is>
      </c>
      <c r="H48" s="75" t="inlineStr">
        <is>
          <t>2026-09-01</t>
        </is>
      </c>
      <c r="I48" s="75" t="inlineStr">
        <is>
          <t>✅ ACEPTADA</t>
        </is>
      </c>
    </row>
    <row r="49" ht="36" customHeight="1">
      <c r="A49" s="75" t="inlineStr">
        <is>
          <t>JP-198</t>
        </is>
      </c>
      <c r="B49" s="75" t="inlineStr">
        <is>
          <t>Pinaisara Falls</t>
        </is>
      </c>
      <c r="C49" s="75" t="inlineStr">
        <is>
          <t>Reclasificación</t>
        </is>
      </c>
      <c r="D49" s="75" t="inlineStr">
        <is>
          <t>S</t>
        </is>
      </c>
      <c r="E49" s="75" t="inlineStr">
        <is>
          <t>A</t>
        </is>
      </c>
      <c r="F49" s="75" t="inlineStr">
        <is>
          <t>Clasificación v2: excelente y muy recomendable, pero no justifica por sí sola adaptar la ruta.</t>
        </is>
      </c>
      <c r="G49" s="75" t="inlineStr">
        <is>
          <t>Criterio editorial v2 S/A/B/C/D</t>
        </is>
      </c>
      <c r="H49" s="75" t="inlineStr">
        <is>
          <t>2026-09-01</t>
        </is>
      </c>
      <c r="I49" s="75" t="inlineStr">
        <is>
          <t>✅ ACEPTADA</t>
        </is>
      </c>
    </row>
    <row r="50" ht="36" customHeight="1">
      <c r="A50" s="75" t="inlineStr">
        <is>
          <t>JP-199</t>
        </is>
      </c>
      <c r="B50" s="75" t="inlineStr">
        <is>
          <t>Hateruma Island</t>
        </is>
      </c>
      <c r="C50" s="75" t="inlineStr">
        <is>
          <t>Reclasificación</t>
        </is>
      </c>
      <c r="D50" s="75" t="inlineStr">
        <is>
          <t>A</t>
        </is>
      </c>
      <c r="E50" s="75" t="inlineStr">
        <is>
          <t>B</t>
        </is>
      </c>
      <c r="F50" s="75" t="inlineStr">
        <is>
          <t>Clasificación v2: recomendable si encaja; su valor depende más de interés, saturación o logística.</t>
        </is>
      </c>
      <c r="G50" s="75" t="inlineStr">
        <is>
          <t>Criterio editorial v2 S/A/B/C/D</t>
        </is>
      </c>
      <c r="H50" s="75" t="inlineStr">
        <is>
          <t>2026-09-01</t>
        </is>
      </c>
      <c r="I50" s="75" t="inlineStr">
        <is>
          <t>✅ ACEPTADA</t>
        </is>
      </c>
    </row>
    <row r="51" ht="36" customHeight="1">
      <c r="A51" s="75" t="inlineStr">
        <is>
          <t>JP-200</t>
        </is>
      </c>
      <c r="B51" s="75" t="inlineStr">
        <is>
          <t>Yonaguni Island and underwater monument dive</t>
        </is>
      </c>
      <c r="C51" s="75" t="inlineStr">
        <is>
          <t>Reclasificación</t>
        </is>
      </c>
      <c r="D51" s="75" t="inlineStr">
        <is>
          <t>S</t>
        </is>
      </c>
      <c r="E51" s="75" t="inlineStr">
        <is>
          <t>A</t>
        </is>
      </c>
      <c r="F51" s="75" t="inlineStr">
        <is>
          <t>Clasificación v2: excelente y muy recomendable, pero no justifica por sí sola adaptar la ruta.</t>
        </is>
      </c>
      <c r="G51" s="75" t="inlineStr">
        <is>
          <t>Criterio editorial v2 S/A/B/C/D</t>
        </is>
      </c>
      <c r="H51" s="75" t="inlineStr">
        <is>
          <t>2026-09-01</t>
        </is>
      </c>
      <c r="I51" s="75" t="inlineStr">
        <is>
          <t>✅ ACEPTADA</t>
        </is>
      </c>
    </row>
    <row r="52" ht="36" customHeight="1">
      <c r="A52" s="75" t="inlineStr">
        <is>
          <t>JP-201</t>
        </is>
      </c>
      <c r="B52" s="75" t="inlineStr">
        <is>
          <t>Hatenohama</t>
        </is>
      </c>
      <c r="C52" s="75" t="inlineStr">
        <is>
          <t>Reclasificación</t>
        </is>
      </c>
      <c r="D52" s="75" t="inlineStr">
        <is>
          <t>S</t>
        </is>
      </c>
      <c r="E52" s="75" t="inlineStr">
        <is>
          <t>A</t>
        </is>
      </c>
      <c r="F52" s="75" t="inlineStr">
        <is>
          <t>Clasificación v2: excelente y muy recomendable, pero no justifica por sí sola adaptar la ruta.</t>
        </is>
      </c>
      <c r="G52" s="75" t="inlineStr">
        <is>
          <t>Criterio editorial v2 S/A/B/C/D</t>
        </is>
      </c>
      <c r="H52" s="75" t="inlineStr">
        <is>
          <t>2026-09-01</t>
        </is>
      </c>
      <c r="I52" s="75" t="inlineStr">
        <is>
          <t>✅ ACEPTADA</t>
        </is>
      </c>
    </row>
    <row r="53" ht="36" customHeight="1">
      <c r="A53" s="75" t="inlineStr">
        <is>
          <t>JP-202</t>
        </is>
      </c>
      <c r="B53" s="75" t="inlineStr">
        <is>
          <t>Whale watching in the Kerama waters</t>
        </is>
      </c>
      <c r="C53" s="75" t="inlineStr">
        <is>
          <t>Reclasificación</t>
        </is>
      </c>
      <c r="D53" s="75" t="inlineStr">
        <is>
          <t>S</t>
        </is>
      </c>
      <c r="E53" s="75" t="inlineStr">
        <is>
          <t>A</t>
        </is>
      </c>
      <c r="F53" s="75" t="inlineStr">
        <is>
          <t>Clasificación v2: excelente y muy recomendable, pero no justifica por sí sola adaptar la ruta.</t>
        </is>
      </c>
      <c r="G53" s="75" t="inlineStr">
        <is>
          <t>Criterio editorial v2 S/A/B/C/D</t>
        </is>
      </c>
      <c r="H53" s="75" t="inlineStr">
        <is>
          <t>2026-09-01</t>
        </is>
      </c>
      <c r="I53" s="75" t="inlineStr">
        <is>
          <t>✅ ACEPTADA</t>
        </is>
      </c>
    </row>
    <row r="54" ht="36" customHeight="1">
      <c r="A54" s="75" t="inlineStr">
        <is>
          <t>NORM-001</t>
        </is>
      </c>
      <c r="B54" s="75" t="inlineStr">
        <is>
          <t>Región y prefectura</t>
        </is>
      </c>
      <c r="C54" s="75" t="inlineStr">
        <is>
          <t>Normalización</t>
        </is>
      </c>
      <c r="D54" s="75" t="inlineStr">
        <is>
          <t>Ryukyu; Kyoto</t>
        </is>
      </c>
      <c r="E54" s="75" t="inlineStr">
        <is>
          <t>Kyushu/Okinawa; Kioto</t>
        </is>
      </c>
      <c r="F54" s="75" t="inlineStr">
        <is>
          <t>Se normalizaron 52 registros para filtros geográficos consistentes.</t>
        </is>
      </c>
      <c r="G54" s="75" t="inlineStr">
        <is>
          <t>Convención geográfica y ortográfica v2</t>
        </is>
      </c>
      <c r="H54" s="75" t="inlineStr">
        <is>
          <t>2026-09-01</t>
        </is>
      </c>
      <c r="I54" s="75" t="inlineStr">
        <is>
          <t>✅ ACEPTADA</t>
        </is>
      </c>
    </row>
    <row r="55" ht="36" customHeight="1">
      <c r="A55" s="75" t="inlineStr">
        <is>
          <t>NORM-002</t>
        </is>
      </c>
      <c r="B55" s="75" t="inlineStr">
        <is>
          <t>Estado de información</t>
        </is>
      </c>
      <c r="C55" s="75" t="inlineStr">
        <is>
          <t>Normalización</t>
        </is>
      </c>
      <c r="D55" s="75" t="inlineStr">
        <is>
          <t>Estados libres</t>
        </is>
      </c>
      <c r="E55" s="75" t="inlineStr">
        <is>
          <t>Verificado / Pendiente / Cambiante / Requiere revisión cerca del viaje</t>
        </is>
      </c>
      <c r="F55" s="75" t="inlineStr">
        <is>
          <t>Se normalizaron 202 valores sin borrar sus advertencias específicas.</t>
        </is>
      </c>
      <c r="G55" s="75" t="inlineStr">
        <is>
          <t>Criterio editorial v2 S/A/B/C/D</t>
        </is>
      </c>
      <c r="H55" s="75" t="inlineStr">
        <is>
          <t>2026-09-01</t>
        </is>
      </c>
      <c r="I55" s="75" t="inlineStr">
        <is>
          <t>✅ ACEPTADA</t>
        </is>
      </c>
    </row>
    <row r="56" ht="36" customHeight="1">
      <c r="A56" s="75" t="inlineStr">
        <is>
          <t>NORM-003</t>
        </is>
      </c>
      <c r="B56" s="75" t="inlineStr">
        <is>
          <t>Hidden Gem Status</t>
        </is>
      </c>
      <c r="C56" s="75" t="inlineStr">
        <is>
          <t>Hidden Gem</t>
        </is>
      </c>
      <c r="D56" s="75" t="inlineStr">
        <is>
          <t>Hidden Gem real / Semi-hidden / Alternative / vacío</t>
        </is>
      </c>
      <c r="E56" s="75" t="inlineStr">
        <is>
          <t>Taxonomía controlada de seis valores</t>
        </is>
      </c>
      <c r="F56" s="75" t="inlineStr">
        <is>
          <t>Se normalizaron 134 entradas; los destinos conocidos no se etiquetaron como hidden gems reales.</t>
        </is>
      </c>
      <c r="G56" s="75" t="inlineStr">
        <is>
          <t>Criterio editorial v2 S/A/B/C/D</t>
        </is>
      </c>
      <c r="H56" s="75" t="inlineStr">
        <is>
          <t>2026-09-01</t>
        </is>
      </c>
      <c r="I56" s="75" t="inlineStr">
        <is>
          <t>✅ ACEPTADA</t>
        </is>
      </c>
    </row>
    <row r="57" ht="36" customHeight="1">
      <c r="A57" s="75" t="inlineStr">
        <is>
          <t>JP-033</t>
        </is>
      </c>
      <c r="B57" s="75" t="inlineStr">
        <is>
          <t>teamLab Borderless</t>
        </is>
      </c>
      <c r="C57" s="75" t="inlineStr">
        <is>
          <t>Corrección</t>
        </is>
      </c>
      <c r="D57" s="75" t="n">
        <v>4000</v>
      </c>
      <c r="E57" s="75" t="n">
        <v>3600</v>
      </c>
      <c r="F57" s="75" t="inlineStr">
        <is>
          <t>La auditoría confundió el cierre de Odaiba con la sede vigente de Azabudai Hills. Campo: Precio JPY mín.</t>
        </is>
      </c>
      <c r="G57" s="75" t="inlineStr">
        <is>
          <t>https://www.teamlab.art/e/tokyo/</t>
        </is>
      </c>
      <c r="H57" s="75" t="inlineStr">
        <is>
          <t>2026-09-01</t>
        </is>
      </c>
      <c r="I57" s="75" t="inlineStr">
        <is>
          <t>⚠️ ACEPTADA CON CORRECCIÓN</t>
        </is>
      </c>
    </row>
    <row r="58" ht="36" customHeight="1">
      <c r="A58" s="75" t="inlineStr">
        <is>
          <t>JP-033</t>
        </is>
      </c>
      <c r="B58" s="75" t="inlineStr">
        <is>
          <t>teamLab Borderless</t>
        </is>
      </c>
      <c r="C58" s="75" t="inlineStr">
        <is>
          <t>Corrección</t>
        </is>
      </c>
      <c r="D58" s="75" t="n">
        <v>5400</v>
      </c>
      <c r="E58" s="75" t="n">
        <v>5600</v>
      </c>
      <c r="F58" s="75" t="inlineStr">
        <is>
          <t>La auditoría confundió el cierre de Odaiba con la sede vigente de Azabudai Hills. Campo: Precio JPY máx.</t>
        </is>
      </c>
      <c r="G58" s="75" t="inlineStr">
        <is>
          <t>https://www.teamlab.art/e/tokyo/</t>
        </is>
      </c>
      <c r="H58" s="75" t="inlineStr">
        <is>
          <t>2026-09-01</t>
        </is>
      </c>
      <c r="I58" s="75" t="inlineStr">
        <is>
          <t>⚠️ ACEPTADA CON CORRECCIÓN</t>
        </is>
      </c>
    </row>
    <row r="59" ht="36" customHeight="1">
      <c r="A59" s="75" t="inlineStr">
        <is>
          <t>JP-033</t>
        </is>
      </c>
      <c r="B59" s="75" t="inlineStr">
        <is>
          <t>teamLab Borderless</t>
        </is>
      </c>
      <c r="C59" s="75" t="inlineStr">
        <is>
          <t>Corrección</t>
        </is>
      </c>
      <c r="D59" s="75" t="inlineStr">
        <is>
          <t>CALENDARIO / CONDICIÓN PENDIENTE</t>
        </is>
      </c>
      <c r="E59" s="75" t="inlineStr">
        <is>
          <t>ABIERTO CONFIRMADO</t>
        </is>
      </c>
      <c r="F59" s="75" t="inlineStr">
        <is>
          <t>La auditoría confundió el cierre de Odaiba con la sede vigente de Azabudai Hills. Campo: Estado Feb–Mar 2027.</t>
        </is>
      </c>
      <c r="G59" s="75" t="inlineStr">
        <is>
          <t>https://www.teamlab.art/e/tokyo/</t>
        </is>
      </c>
      <c r="H59" s="75" t="inlineStr">
        <is>
          <t>2026-09-01</t>
        </is>
      </c>
      <c r="I59" s="75" t="inlineStr">
        <is>
          <t>⚠️ ACEPTADA CON CORRECCIÓN</t>
        </is>
      </c>
    </row>
    <row r="60" ht="36" customHeight="1">
      <c r="A60" s="75" t="inlineStr">
        <is>
          <t>JP-033</t>
        </is>
      </c>
      <c r="B60" s="75" t="inlineStr">
        <is>
          <t>teamLab Borderless</t>
        </is>
      </c>
      <c r="C60" s="75" t="inlineStr">
        <is>
          <t>Corrección</t>
        </is>
      </c>
      <c r="D60" s="75" t="inlineStr">
        <is>
          <t>No hay cierre específico confirmado para la ventana, pero horarios o acceso pueden variar.</t>
        </is>
      </c>
      <c r="E60" s="75" t="inlineStr">
        <is>
          <t>Sede permanente en Azabudai Hills desde 2024; no es la antigua sede de Odaiba y no fue sustituida por Planets.</t>
        </is>
      </c>
      <c r="F60" s="75" t="inlineStr">
        <is>
          <t>La auditoría confundió el cierre de Odaiba con la sede vigente de Azabudai Hills. Campo: Advertencia / oportunidad Feb–Mar 2027.</t>
        </is>
      </c>
      <c r="G60" s="75" t="inlineStr">
        <is>
          <t>https://www.teamlab.art/e/tokyo/</t>
        </is>
      </c>
      <c r="H60" s="75" t="inlineStr">
        <is>
          <t>2026-09-01</t>
        </is>
      </c>
      <c r="I60" s="75" t="inlineStr">
        <is>
          <t>⚠️ ACEPTADA CON CORRECCIÓN</t>
        </is>
      </c>
    </row>
    <row r="61" ht="36" customHeight="1">
      <c r="A61" s="75" t="inlineStr">
        <is>
          <t>JP-033</t>
        </is>
      </c>
      <c r="B61" s="75" t="inlineStr">
        <is>
          <t>teamLab Borderless</t>
        </is>
      </c>
      <c r="C61" s="75" t="inlineStr">
        <is>
          <t>Corrección</t>
        </is>
      </c>
      <c r="D61" s="75" t="inlineStr">
        <is>
          <t>Reconfirmar en la web oficial al fijar fechas.</t>
        </is>
      </c>
      <c r="E61" s="75" t="inlineStr">
        <is>
          <t>Comprar franja horaria y reconfirmar horario/precio de la fecha.</t>
        </is>
      </c>
      <c r="F61" s="75" t="inlineStr">
        <is>
          <t>La auditoría confundió el cierre de Odaiba con la sede vigente de Azabudai Hills. Campo: Acción recomendada Feb–Mar 2027.</t>
        </is>
      </c>
      <c r="G61" s="75" t="inlineStr">
        <is>
          <t>https://www.teamlab.art/e/tokyo/</t>
        </is>
      </c>
      <c r="H61" s="75" t="inlineStr">
        <is>
          <t>2026-09-01</t>
        </is>
      </c>
      <c r="I61" s="75" t="inlineStr">
        <is>
          <t>⚠️ ACEPTADA CON CORRECCIÓN</t>
        </is>
      </c>
    </row>
    <row r="62" ht="36" customHeight="1">
      <c r="A62" s="75" t="inlineStr">
        <is>
          <t>JP-038</t>
        </is>
      </c>
      <c r="B62" s="75" t="inlineStr">
        <is>
          <t>teamLab Planets TOKYO</t>
        </is>
      </c>
      <c r="C62" s="75" t="inlineStr">
        <is>
          <t>Corrección</t>
        </is>
      </c>
      <c r="D62" s="75" t="inlineStr">
        <is>
          <t>Operación anunciada hasta finales de 2027.</t>
        </is>
      </c>
      <c r="E62" s="75" t="inlineStr">
        <is>
          <t>Experiencia independiente en Toyosu; la web oficial anuncia operación hasta finales de 2027.</t>
        </is>
      </c>
      <c r="F62" s="75" t="inlineStr">
        <is>
          <t>Se refuerza la separación entre Planets (Toyosu) y Borderless (Azabudai Hills). Campo: Advertencia / oportunidad Feb–Mar 2027.</t>
        </is>
      </c>
      <c r="G62" s="75" t="inlineStr">
        <is>
          <t>https://www.teamlab.art/e/planets/</t>
        </is>
      </c>
      <c r="H62" s="75" t="inlineStr">
        <is>
          <t>2026-09-01</t>
        </is>
      </c>
      <c r="I62" s="75" t="inlineStr">
        <is>
          <t>⚠️ ACEPTADA CON CORRECCIÓN</t>
        </is>
      </c>
    </row>
    <row r="63" ht="36" customHeight="1">
      <c r="A63" s="75" t="inlineStr">
        <is>
          <t>JP-125</t>
        </is>
      </c>
      <c r="B63" s="75" t="inlineStr">
        <is>
          <t>Universal Studios Japan</t>
        </is>
      </c>
      <c r="C63" s="75" t="inlineStr">
        <is>
          <t>Corrección</t>
        </is>
      </c>
      <c r="D63" s="75" t="inlineStr">
        <is>
          <t>Yumeshima</t>
        </is>
      </c>
      <c r="E63" s="75" t="inlineStr">
        <is>
          <t>Sakurajima / Konohana</t>
        </is>
      </c>
      <c r="F63" s="75" t="inlineStr">
        <is>
          <t>Universal Studios Japan no está en Yumeshima; su acceso es Universal City, en Konohana. Campo: Zona/barrio.</t>
        </is>
      </c>
      <c r="G63" s="75" t="inlineStr">
        <is>
          <t>https://www.usj.co.jp/web/en/us</t>
        </is>
      </c>
      <c r="H63" s="75" t="inlineStr">
        <is>
          <t>2026-09-01</t>
        </is>
      </c>
      <c r="I63" s="75" t="inlineStr">
        <is>
          <t>⚠️ ACEPTADA CON CORRECCIÓN</t>
        </is>
      </c>
    </row>
    <row r="64" ht="36" customHeight="1">
      <c r="A64" s="75" t="inlineStr">
        <is>
          <t>JP-129</t>
        </is>
      </c>
      <c r="B64" s="75" t="inlineStr">
        <is>
          <t>Tōdai-ji</t>
        </is>
      </c>
      <c r="C64" s="75" t="inlineStr">
        <is>
          <t>Estacionalidad</t>
        </is>
      </c>
      <c r="D64" s="75" t="inlineStr">
        <is>
          <t>Todo el año</t>
        </is>
      </c>
      <c r="E64" s="75" t="inlineStr">
        <is>
          <t>Todo el año; Shuni-e/Omizutori a inicios de marzo</t>
        </is>
      </c>
      <c r="F64" s="75" t="inlineStr">
        <is>
          <t>Se integra Omizutori en la entrada existente para evitar un duplicado de Tōdai-ji. Campo: Mejor época.</t>
        </is>
      </c>
      <c r="G64" s="75" t="inlineStr">
        <is>
          <t>https://www.todaiji.or.jp/en/annual/event/shunie/</t>
        </is>
      </c>
      <c r="H64" s="75" t="inlineStr">
        <is>
          <t>2026-09-01</t>
        </is>
      </c>
      <c r="I64" s="75" t="inlineStr">
        <is>
          <t>⚠️ ACEPTADA CON CORRECCIÓN</t>
        </is>
      </c>
    </row>
    <row r="65" ht="36" customHeight="1">
      <c r="A65" s="75" t="inlineStr">
        <is>
          <t>JP-129</t>
        </is>
      </c>
      <c r="B65" s="75" t="inlineStr">
        <is>
          <t>Tōdai-ji</t>
        </is>
      </c>
      <c r="C65" s="75" t="inlineStr">
        <is>
          <t>Estacionalidad</t>
        </is>
      </c>
      <c r="D65" s="75" t="inlineStr">
        <is>
          <t>CALENDARIO / CONDICIÓN PENDIENTE</t>
        </is>
      </c>
      <c r="E65" s="75" t="inlineStr">
        <is>
          <t>PATRÓN HISTÓRICO / MUY PROBABLE</t>
        </is>
      </c>
      <c r="F65" s="75" t="inlineStr">
        <is>
          <t>Se integra Omizutori en la entrada existente para evitar un duplicado de Tōdai-ji. Campo: Estado Feb–Mar 2027.</t>
        </is>
      </c>
      <c r="G65" s="75" t="inlineStr">
        <is>
          <t>https://www.todaiji.or.jp/en/annual/event/shunie/</t>
        </is>
      </c>
      <c r="H65" s="75" t="inlineStr">
        <is>
          <t>2026-09-01</t>
        </is>
      </c>
      <c r="I65" s="75" t="inlineStr">
        <is>
          <t>⚠️ ACEPTADA CON CORRECCIÓN</t>
        </is>
      </c>
    </row>
    <row r="66" ht="36" customHeight="1">
      <c r="A66" s="75" t="inlineStr">
        <is>
          <t>JP-129</t>
        </is>
      </c>
      <c r="B66" s="75" t="inlineStr">
        <is>
          <t>Tōdai-ji</t>
        </is>
      </c>
      <c r="C66" s="75" t="inlineStr">
        <is>
          <t>Estacionalidad</t>
        </is>
      </c>
      <c r="D66" s="75" t="inlineStr">
        <is>
          <t>No hay cierre específico confirmado para la ventana, pero horarios o acceso pueden variar.</t>
        </is>
      </c>
      <c r="E66" s="75" t="inlineStr">
        <is>
          <t>Shuni-e/Omizutori es una ceremonia anual de marzo; el programa público específico de 2027 debe confirmarse.</t>
        </is>
      </c>
      <c r="F66" s="75" t="inlineStr">
        <is>
          <t>Se integra Omizutori en la entrada existente para evitar un duplicado de Tōdai-ji. Campo: Advertencia / oportunidad Feb–Mar 2027.</t>
        </is>
      </c>
      <c r="G66" s="75" t="inlineStr">
        <is>
          <t>https://www.todaiji.or.jp/en/annual/event/shunie/</t>
        </is>
      </c>
      <c r="H66" s="75" t="inlineStr">
        <is>
          <t>2026-09-01</t>
        </is>
      </c>
      <c r="I66" s="75" t="inlineStr">
        <is>
          <t>⚠️ ACEPTADA CON CORRECCIÓN</t>
        </is>
      </c>
    </row>
    <row r="67" ht="36" customHeight="1">
      <c r="A67" s="75" t="inlineStr">
        <is>
          <t>JP-129</t>
        </is>
      </c>
      <c r="B67" s="75" t="inlineStr">
        <is>
          <t>Tōdai-ji</t>
        </is>
      </c>
      <c r="C67" s="75" t="inlineStr">
        <is>
          <t>Estacionalidad</t>
        </is>
      </c>
      <c r="D67" s="75" t="inlineStr">
        <is>
          <t>Reconfirmar en la web oficial al fijar fechas.</t>
        </is>
      </c>
      <c r="E67" s="75" t="inlineStr">
        <is>
          <t>Revisar el calendario oficial de Tōdai-ji en enero de 2027.</t>
        </is>
      </c>
      <c r="F67" s="75" t="inlineStr">
        <is>
          <t>Se integra Omizutori en la entrada existente para evitar un duplicado de Tōdai-ji. Campo: Acción recomendada Feb–Mar 2027.</t>
        </is>
      </c>
      <c r="G67" s="75" t="inlineStr">
        <is>
          <t>https://www.todaiji.or.jp/en/annual/event/shunie/</t>
        </is>
      </c>
      <c r="H67" s="75" t="inlineStr">
        <is>
          <t>2026-09-01</t>
        </is>
      </c>
      <c r="I67" s="75" t="inlineStr">
        <is>
          <t>⚠️ ACEPTADA CON CORRECCIÓN</t>
        </is>
      </c>
    </row>
    <row r="68" ht="36" customHeight="1">
      <c r="A68" s="75" t="inlineStr">
        <is>
          <t>JP-157</t>
        </is>
      </c>
      <c r="B68" s="75" t="inlineStr">
        <is>
          <t>Shurijo Castle Park</t>
        </is>
      </c>
      <c r="C68" s="75" t="inlineStr">
        <is>
          <t>Apertura</t>
        </is>
      </c>
      <c r="D68" s="75" t="n">
        <v>400</v>
      </c>
      <c r="E68" s="75" t="n">
        <v>1000</v>
      </c>
      <c r="F68" s="75" t="inlineStr">
        <is>
          <t>La apertura pública del Seiden es anterior a la ventana del viaje. Campo: Precio JPY mín.</t>
        </is>
      </c>
      <c r="G68" s="75" t="inlineStr">
        <is>
          <t>https://oki-park.jp.e.ms.hp.transer.com/shurijo/information/detail/10959</t>
        </is>
      </c>
      <c r="H68" s="75" t="inlineStr">
        <is>
          <t>2026-09-01</t>
        </is>
      </c>
      <c r="I68" s="75" t="inlineStr">
        <is>
          <t>⚠️ ACEPTADA CON CORRECCIÓN</t>
        </is>
      </c>
    </row>
    <row r="69" ht="36" customHeight="1">
      <c r="A69" s="75" t="inlineStr">
        <is>
          <t>JP-157</t>
        </is>
      </c>
      <c r="B69" s="75" t="inlineStr">
        <is>
          <t>Shurijo Castle Park</t>
        </is>
      </c>
      <c r="C69" s="75" t="inlineStr">
        <is>
          <t>Apertura</t>
        </is>
      </c>
      <c r="D69" s="75" t="n">
        <v>1600</v>
      </c>
      <c r="E69" s="75" t="n">
        <v>1000</v>
      </c>
      <c r="F69" s="75" t="inlineStr">
        <is>
          <t>La apertura pública del Seiden es anterior a la ventana del viaje. Campo: Precio JPY máx.</t>
        </is>
      </c>
      <c r="G69" s="75" t="inlineStr">
        <is>
          <t>https://oki-park.jp.e.ms.hp.transer.com/shurijo/information/detail/10959</t>
        </is>
      </c>
      <c r="H69" s="75" t="inlineStr">
        <is>
          <t>2026-09-01</t>
        </is>
      </c>
      <c r="I69" s="75" t="inlineStr">
        <is>
          <t>⚠️ ACEPTADA CON CORRECCIÓN</t>
        </is>
      </c>
    </row>
    <row r="70" ht="36" customHeight="1">
      <c r="A70" s="75" t="inlineStr">
        <is>
          <t>JP-157</t>
        </is>
      </c>
      <c r="B70" s="75" t="inlineStr">
        <is>
          <t>Shurijo Castle Park</t>
        </is>
      </c>
      <c r="C70" s="75" t="inlineStr">
        <is>
          <t>Apertura</t>
        </is>
      </c>
      <c r="D70" s="75" t="inlineStr">
        <is>
          <t>Requiere revisión cerca del viaje</t>
        </is>
      </c>
      <c r="E70" s="75" t="inlineStr">
        <is>
          <t>Cambiante</t>
        </is>
      </c>
      <c r="F70" s="75" t="inlineStr">
        <is>
          <t>La apertura pública del Seiden es anterior a la ventana del viaje. Campo: Estado de verificación.</t>
        </is>
      </c>
      <c r="G70" s="75" t="inlineStr">
        <is>
          <t>https://oki-park.jp.e.ms.hp.transer.com/shurijo/information/detail/10959</t>
        </is>
      </c>
      <c r="H70" s="75" t="inlineStr">
        <is>
          <t>2026-09-01</t>
        </is>
      </c>
      <c r="I70" s="75" t="inlineStr">
        <is>
          <t>⚠️ ACEPTADA CON CORRECCIÓN</t>
        </is>
      </c>
    </row>
    <row r="71" ht="36" customHeight="1">
      <c r="A71" s="75" t="inlineStr">
        <is>
          <t>JP-157</t>
        </is>
      </c>
      <c r="B71" s="75" t="inlineStr">
        <is>
          <t>Shurijo Castle Park</t>
        </is>
      </c>
      <c r="C71" s="75" t="inlineStr">
        <is>
          <t>Apertura</t>
        </is>
      </c>
      <c r="D71" s="75" t="inlineStr">
        <is>
          <t>ABIERTO PREVISTO</t>
        </is>
      </c>
      <c r="E71" s="75" t="inlineStr">
        <is>
          <t>ABIERTO CONFIRMADO</t>
        </is>
      </c>
      <c r="F71" s="75" t="inlineStr">
        <is>
          <t>La apertura pública del Seiden es anterior a la ventana del viaje. Campo: Estado Feb–Mar 2027.</t>
        </is>
      </c>
      <c r="G71" s="75" t="inlineStr">
        <is>
          <t>https://oki-park.jp.e.ms.hp.transer.com/shurijo/information/detail/10959</t>
        </is>
      </c>
      <c r="H71" s="75" t="inlineStr">
        <is>
          <t>2026-09-01</t>
        </is>
      </c>
      <c r="I71" s="75" t="inlineStr">
        <is>
          <t>⚠️ ACEPTADA CON CORRECCIÓN</t>
        </is>
      </c>
    </row>
    <row r="72" ht="36" customHeight="1">
      <c r="A72" s="75" t="inlineStr">
        <is>
          <t>JP-157</t>
        </is>
      </c>
      <c r="B72" s="75" t="inlineStr">
        <is>
          <t>Shurijo Castle Park</t>
        </is>
      </c>
      <c r="C72" s="75" t="inlineStr">
        <is>
          <t>Apertura</t>
        </is>
      </c>
      <c r="D72" s="75" t="inlineStr">
        <is>
          <t>El Seiden abre al público el 23 nov 2026, antes de la ventana de viaje.</t>
        </is>
      </c>
      <c r="E72" s="75" t="inlineStr">
        <is>
          <t>El Seiden abrió al público el 23 nov 2026; otros trabajos del complejo pueden continuar.</t>
        </is>
      </c>
      <c r="F72" s="75" t="inlineStr">
        <is>
          <t>La apertura pública del Seiden es anterior a la ventana del viaje. Campo: Advertencia / oportunidad Feb–Mar 2027.</t>
        </is>
      </c>
      <c r="G72" s="75" t="inlineStr">
        <is>
          <t>https://oki-park.jp.e.ms.hp.transer.com/shurijo/information/detail/10959</t>
        </is>
      </c>
      <c r="H72" s="75" t="inlineStr">
        <is>
          <t>2026-09-01</t>
        </is>
      </c>
      <c r="I72" s="75" t="inlineStr">
        <is>
          <t>⚠️ ACEPTADA CON CORRECCIÓN</t>
        </is>
      </c>
    </row>
    <row r="73" ht="36" customHeight="1">
      <c r="A73" s="75" t="inlineStr">
        <is>
          <t>JP-157</t>
        </is>
      </c>
      <c r="B73" s="75" t="inlineStr">
        <is>
          <t>Shurijo Castle Park</t>
        </is>
      </c>
      <c r="C73" s="75" t="inlineStr">
        <is>
          <t>Apertura</t>
        </is>
      </c>
      <c r="D73" s="75" t="inlineStr">
        <is>
          <t>Reconfirmar operación y reservar cuando abra la fecha.</t>
        </is>
      </c>
      <c r="E73" s="75" t="inlineStr">
        <is>
          <t>Reconfirmar condiciones y reserva del interior del Seiden.</t>
        </is>
      </c>
      <c r="F73" s="75" t="inlineStr">
        <is>
          <t>La apertura pública del Seiden es anterior a la ventana del viaje. Campo: Acción recomendada Feb–Mar 2027.</t>
        </is>
      </c>
      <c r="G73" s="75" t="inlineStr">
        <is>
          <t>https://oki-park.jp.e.ms.hp.transer.com/shurijo/information/detail/10959</t>
        </is>
      </c>
      <c r="H73" s="75" t="inlineStr">
        <is>
          <t>2026-09-01</t>
        </is>
      </c>
      <c r="I73" s="75" t="inlineStr">
        <is>
          <t>⚠️ ACEPTADA CON CORRECCIÓN</t>
        </is>
      </c>
    </row>
    <row r="74" ht="36" customHeight="1">
      <c r="A74" s="75" t="inlineStr">
        <is>
          <t>JP-203</t>
        </is>
      </c>
      <c r="B74" s="75" t="inlineStr">
        <is>
          <t>Tokyo Disneyland</t>
        </is>
      </c>
      <c r="C74" s="75" t="inlineStr">
        <is>
          <t>Adición</t>
        </is>
      </c>
      <c r="D74" s="75" t="inlineStr">
        <is>
          <t>No existía</t>
        </is>
      </c>
      <c r="E74" s="75" t="inlineStr">
        <is>
          <t>Nueva entrada</t>
        </is>
      </c>
      <c r="F74" s="75" t="inlineStr">
        <is>
          <t>Adición validada; se comprobó que no existía bajo otra denominación.</t>
        </is>
      </c>
      <c r="G74" s="75" t="inlineStr">
        <is>
          <t>https://www.tokyodisneyresort.jp/en/tdl/</t>
        </is>
      </c>
      <c r="H74" s="75" t="inlineStr">
        <is>
          <t>2026-09-01</t>
        </is>
      </c>
      <c r="I74" s="75" t="inlineStr">
        <is>
          <t>✅ ACEPTADA</t>
        </is>
      </c>
    </row>
    <row r="75" ht="36" customHeight="1">
      <c r="A75" s="75" t="inlineStr">
        <is>
          <t>JP-204</t>
        </is>
      </c>
      <c r="B75" s="75" t="inlineStr">
        <is>
          <t>Tokyo DisneySea</t>
        </is>
      </c>
      <c r="C75" s="75" t="inlineStr">
        <is>
          <t>Adición</t>
        </is>
      </c>
      <c r="D75" s="75" t="inlineStr">
        <is>
          <t>No existía</t>
        </is>
      </c>
      <c r="E75" s="75" t="inlineStr">
        <is>
          <t>Nueva entrada</t>
        </is>
      </c>
      <c r="F75" s="75" t="inlineStr">
        <is>
          <t>Adición validada; se comprobó que no existía bajo otra denominación.</t>
        </is>
      </c>
      <c r="G75" s="75" t="inlineStr">
        <is>
          <t>https://www.tokyodisneyresort.jp/en/tds/</t>
        </is>
      </c>
      <c r="H75" s="75" t="inlineStr">
        <is>
          <t>2026-09-01</t>
        </is>
      </c>
      <c r="I75" s="75" t="inlineStr">
        <is>
          <t>✅ ACEPTADA</t>
        </is>
      </c>
    </row>
    <row r="76" ht="36" customHeight="1">
      <c r="A76" s="75" t="inlineStr">
        <is>
          <t>JP-205</t>
        </is>
      </c>
      <c r="B76" s="75" t="inlineStr">
        <is>
          <t>Sapporo Snow Festival</t>
        </is>
      </c>
      <c r="C76" s="75" t="inlineStr">
        <is>
          <t>Adición</t>
        </is>
      </c>
      <c r="D76" s="75" t="inlineStr">
        <is>
          <t>No existía</t>
        </is>
      </c>
      <c r="E76" s="75" t="inlineStr">
        <is>
          <t>Nueva entrada</t>
        </is>
      </c>
      <c r="F76" s="75" t="inlineStr">
        <is>
          <t>Adición validada; se comprobó que no existía bajo otra denominación.</t>
        </is>
      </c>
      <c r="G76" s="75" t="inlineStr">
        <is>
          <t>https://www.snowfes.com/en/</t>
        </is>
      </c>
      <c r="H76" s="75" t="inlineStr">
        <is>
          <t>2026-09-01</t>
        </is>
      </c>
      <c r="I76" s="75" t="inlineStr">
        <is>
          <t>✅ ACEPTADA</t>
        </is>
      </c>
    </row>
    <row r="77" ht="36" customHeight="1">
      <c r="A77" s="75" t="inlineStr">
        <is>
          <t>JP-206</t>
        </is>
      </c>
      <c r="B77" s="75" t="inlineStr">
        <is>
          <t>Otaru Snow Light Path</t>
        </is>
      </c>
      <c r="C77" s="75" t="inlineStr">
        <is>
          <t>Adición</t>
        </is>
      </c>
      <c r="D77" s="75" t="inlineStr">
        <is>
          <t>No existía</t>
        </is>
      </c>
      <c r="E77" s="75" t="inlineStr">
        <is>
          <t>Nueva entrada</t>
        </is>
      </c>
      <c r="F77" s="75" t="inlineStr">
        <is>
          <t>Adición validada; se comprobó que no existía bajo otra denominación.</t>
        </is>
      </c>
      <c r="G77" s="75" t="inlineStr">
        <is>
          <t>https://otaru-yukiakarinomichi.org/</t>
        </is>
      </c>
      <c r="H77" s="75" t="inlineStr">
        <is>
          <t>2026-09-01</t>
        </is>
      </c>
      <c r="I77" s="75" t="inlineStr">
        <is>
          <t>✅ ACEPTADA</t>
        </is>
      </c>
    </row>
    <row r="78" ht="36" customHeight="1">
      <c r="A78" s="75" t="inlineStr">
        <is>
          <t>JP-207</t>
        </is>
      </c>
      <c r="B78" s="75" t="inlineStr">
        <is>
          <t>Lake Shikotsu Ice Festival</t>
        </is>
      </c>
      <c r="C78" s="75" t="inlineStr">
        <is>
          <t>Adición</t>
        </is>
      </c>
      <c r="D78" s="75" t="inlineStr">
        <is>
          <t>No existía</t>
        </is>
      </c>
      <c r="E78" s="75" t="inlineStr">
        <is>
          <t>Nueva entrada</t>
        </is>
      </c>
      <c r="F78" s="75" t="inlineStr">
        <is>
          <t>Adición validada; se comprobó que no existía bajo otra denominación.</t>
        </is>
      </c>
      <c r="G78" s="75" t="inlineStr">
        <is>
          <t>https://hyoutou-special.asia/</t>
        </is>
      </c>
      <c r="H78" s="75" t="inlineStr">
        <is>
          <t>2026-09-01</t>
        </is>
      </c>
      <c r="I78" s="75" t="inlineStr">
        <is>
          <t>✅ ACEPTADA</t>
        </is>
      </c>
    </row>
    <row r="79" ht="36" customHeight="1">
      <c r="A79" s="75" t="inlineStr">
        <is>
          <t>JP-208</t>
        </is>
      </c>
      <c r="B79" s="75" t="inlineStr">
        <is>
          <t>Kawazu Cherry Blossom Festival</t>
        </is>
      </c>
      <c r="C79" s="75" t="inlineStr">
        <is>
          <t>Adición</t>
        </is>
      </c>
      <c r="D79" s="75" t="inlineStr">
        <is>
          <t>No existía</t>
        </is>
      </c>
      <c r="E79" s="75" t="inlineStr">
        <is>
          <t>Nueva entrada</t>
        </is>
      </c>
      <c r="F79" s="75" t="inlineStr">
        <is>
          <t>Adición validada; se comprobó que no existía bajo otra denominación.</t>
        </is>
      </c>
      <c r="G79" s="75" t="inlineStr">
        <is>
          <t>https://kawazuzakura.net/</t>
        </is>
      </c>
      <c r="H79" s="75" t="inlineStr">
        <is>
          <t>2026-09-01</t>
        </is>
      </c>
      <c r="I79" s="75" t="inlineStr">
        <is>
          <t>✅ ACEPTADA</t>
        </is>
      </c>
    </row>
    <row r="80" ht="36" customHeight="1">
      <c r="A80" s="75" t="inlineStr">
        <is>
          <t>JP-209</t>
        </is>
      </c>
      <c r="B80" s="75" t="inlineStr">
        <is>
          <t>Okunoshima (Rabbit Island)</t>
        </is>
      </c>
      <c r="C80" s="75" t="inlineStr">
        <is>
          <t>Adición</t>
        </is>
      </c>
      <c r="D80" s="75" t="inlineStr">
        <is>
          <t>No existía</t>
        </is>
      </c>
      <c r="E80" s="75" t="inlineStr">
        <is>
          <t>Nueva entrada</t>
        </is>
      </c>
      <c r="F80" s="75" t="inlineStr">
        <is>
          <t>Adición validada; se comprobó que no existía bajo otra denominación.</t>
        </is>
      </c>
      <c r="G80" s="75" t="inlineStr">
        <is>
          <t>https://www.japan.travel/en/spot/871/</t>
        </is>
      </c>
      <c r="H80" s="75" t="inlineStr">
        <is>
          <t>2026-09-01</t>
        </is>
      </c>
      <c r="I80" s="75" t="inlineStr">
        <is>
          <t>✅ ACEPTADA</t>
        </is>
      </c>
    </row>
    <row r="81" ht="36" customHeight="1">
      <c r="A81" s="75" t="inlineStr">
        <is>
          <t>JP-210</t>
        </is>
      </c>
      <c r="B81" s="75" t="inlineStr">
        <is>
          <t>Takayama Sanmachi Historic District</t>
        </is>
      </c>
      <c r="C81" s="75" t="inlineStr">
        <is>
          <t>Adición</t>
        </is>
      </c>
      <c r="D81" s="75" t="inlineStr">
        <is>
          <t>No existía</t>
        </is>
      </c>
      <c r="E81" s="75" t="inlineStr">
        <is>
          <t>Nueva entrada</t>
        </is>
      </c>
      <c r="F81" s="75" t="inlineStr">
        <is>
          <t>Adición validada; se comprobó que no existía bajo otra denominación.</t>
        </is>
      </c>
      <c r="G81" s="75" t="inlineStr">
        <is>
          <t>https://www.japan.travel/en/spot/152/</t>
        </is>
      </c>
      <c r="H81" s="75" t="inlineStr">
        <is>
          <t>2026-09-01</t>
        </is>
      </c>
      <c r="I81" s="75" t="inlineStr">
        <is>
          <t>✅ ACEPTADA</t>
        </is>
      </c>
    </row>
    <row r="82" ht="36" customHeight="1">
      <c r="A82" s="75" t="inlineStr">
        <is>
          <t>JP-211</t>
        </is>
      </c>
      <c r="B82" s="75" t="inlineStr">
        <is>
          <t>AnimeJapan 2027</t>
        </is>
      </c>
      <c r="C82" s="75" t="inlineStr">
        <is>
          <t>Adición</t>
        </is>
      </c>
      <c r="D82" s="75" t="inlineStr">
        <is>
          <t>No existía</t>
        </is>
      </c>
      <c r="E82" s="75" t="inlineStr">
        <is>
          <t>Nueva entrada</t>
        </is>
      </c>
      <c r="F82" s="75" t="inlineStr">
        <is>
          <t>Adición validada; se comprobó que no existía bajo otra denominación.</t>
        </is>
      </c>
      <c r="G82" s="75" t="inlineStr">
        <is>
          <t>https://anime-japan.jp/en/about/</t>
        </is>
      </c>
      <c r="H82" s="75" t="inlineStr">
        <is>
          <t>2026-09-01</t>
        </is>
      </c>
      <c r="I82" s="75" t="inlineStr">
        <is>
          <t>✅ ACEPTADA</t>
        </is>
      </c>
    </row>
    <row r="83" ht="36" customHeight="1">
      <c r="A83" s="75" t="inlineStr">
        <is>
          <t>JP-212</t>
        </is>
      </c>
      <c r="B83" s="75" t="inlineStr">
        <is>
          <t>Grand Sumo Tournament Osaka 2027</t>
        </is>
      </c>
      <c r="C83" s="75" t="inlineStr">
        <is>
          <t>Adición</t>
        </is>
      </c>
      <c r="D83" s="75" t="inlineStr">
        <is>
          <t>No existía</t>
        </is>
      </c>
      <c r="E83" s="75" t="inlineStr">
        <is>
          <t>Nueva entrada</t>
        </is>
      </c>
      <c r="F83" s="75" t="inlineStr">
        <is>
          <t>Adición validada; se comprobó que no existía bajo otra denominación.</t>
        </is>
      </c>
      <c r="G83" s="75" t="inlineStr">
        <is>
          <t>https://www.sumo.or.jp/EnTicket/year_schedule/</t>
        </is>
      </c>
      <c r="H83" s="75" t="inlineStr">
        <is>
          <t>2026-09-01</t>
        </is>
      </c>
      <c r="I83" s="75" t="inlineStr">
        <is>
          <t>✅ ACEPTADA</t>
        </is>
      </c>
    </row>
    <row r="84" ht="36" customHeight="1">
      <c r="A84" s="75" t="inlineStr">
        <is>
          <t>JP-213</t>
        </is>
      </c>
      <c r="B84" s="75" t="inlineStr">
        <is>
          <t>Tokyo Marathon 2027</t>
        </is>
      </c>
      <c r="C84" s="75" t="inlineStr">
        <is>
          <t>Adición</t>
        </is>
      </c>
      <c r="D84" s="75" t="inlineStr">
        <is>
          <t>No existía</t>
        </is>
      </c>
      <c r="E84" s="75" t="inlineStr">
        <is>
          <t>Nueva entrada</t>
        </is>
      </c>
      <c r="F84" s="75" t="inlineStr">
        <is>
          <t>Adición validada; se comprobó que no existía bajo otra denominación.</t>
        </is>
      </c>
      <c r="G84" s="75" t="inlineStr">
        <is>
          <t>https://www.marathon.tokyo/en/news/detail/news_20260415111128.html</t>
        </is>
      </c>
      <c r="H84" s="75" t="inlineStr">
        <is>
          <t>2026-09-01</t>
        </is>
      </c>
      <c r="I84" s="75" t="inlineStr">
        <is>
          <t>✅ ACEPTADA</t>
        </is>
      </c>
    </row>
    <row r="85" ht="36" customHeight="1">
      <c r="A85" s="75" t="inlineStr">
        <is>
          <t>JP-214</t>
        </is>
      </c>
      <c r="B85" s="75" t="inlineStr">
        <is>
          <t>Yanagawa canal cruise</t>
        </is>
      </c>
      <c r="C85" s="75" t="inlineStr">
        <is>
          <t>Adición</t>
        </is>
      </c>
      <c r="D85" s="75" t="inlineStr">
        <is>
          <t>No existía</t>
        </is>
      </c>
      <c r="E85" s="75" t="inlineStr">
        <is>
          <t>Nueva entrada</t>
        </is>
      </c>
      <c r="F85" s="75" t="inlineStr">
        <is>
          <t>Adición validada; se comprobó que no existía bajo otra denominación.</t>
        </is>
      </c>
      <c r="G85" s="75" t="inlineStr">
        <is>
          <t>https://www.crossroadfukuoka.jp/en/articles/yanagawa-kawakudari</t>
        </is>
      </c>
      <c r="H85" s="75" t="inlineStr">
        <is>
          <t>2026-09-01</t>
        </is>
      </c>
      <c r="I85" s="75" t="inlineStr">
        <is>
          <t>✅ ACEPTADA</t>
        </is>
      </c>
    </row>
    <row r="86">
      <c r="A86" t="inlineStr">
        <is>
          <t>JP-153</t>
        </is>
      </c>
      <c r="B86" t="inlineStr">
        <is>
          <t>Kokusai Street</t>
        </is>
      </c>
      <c r="C86" t="inlineStr">
        <is>
          <t>Corrección de taxonomía regional</t>
        </is>
      </c>
      <c r="D86" t="inlineStr">
        <is>
          <t>Kyushu/Okinawa</t>
        </is>
      </c>
      <c r="E86" t="inlineStr">
        <is>
          <t>Okinawa</t>
        </is>
      </c>
      <c r="F86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86" t="inlineStr">
        <is>
          <t>Auditoría técnica Phase 2 (Nihon Travel Explorer) — validación editorial interna</t>
        </is>
      </c>
      <c r="H86" t="inlineStr">
        <is>
          <t>2026-09-02</t>
        </is>
      </c>
      <c r="I86" t="inlineStr">
        <is>
          <t>✅ ACEPTADA</t>
        </is>
      </c>
    </row>
    <row r="87">
      <c r="A87" t="inlineStr">
        <is>
          <t>JP-154</t>
        </is>
      </c>
      <c r="B87" t="inlineStr">
        <is>
          <t>First Makishi Public Market</t>
        </is>
      </c>
      <c r="C87" t="inlineStr">
        <is>
          <t>Corrección de taxonomía regional</t>
        </is>
      </c>
      <c r="D87" t="inlineStr">
        <is>
          <t>Kyushu/Okinawa</t>
        </is>
      </c>
      <c r="E87" t="inlineStr">
        <is>
          <t>Okinawa</t>
        </is>
      </c>
      <c r="F87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87" t="inlineStr">
        <is>
          <t>Auditoría técnica Phase 2 (Nihon Travel Explorer) — validación editorial interna</t>
        </is>
      </c>
      <c r="H87" t="inlineStr">
        <is>
          <t>2026-09-02</t>
        </is>
      </c>
      <c r="I87" t="inlineStr">
        <is>
          <t>✅ ACEPTADA</t>
        </is>
      </c>
    </row>
    <row r="88">
      <c r="A88" t="inlineStr">
        <is>
          <t>JP-155</t>
        </is>
      </c>
      <c r="B88" t="inlineStr">
        <is>
          <t>Tsuboya Yachimun Street</t>
        </is>
      </c>
      <c r="C88" t="inlineStr">
        <is>
          <t>Corrección de taxonomía regional</t>
        </is>
      </c>
      <c r="D88" t="inlineStr">
        <is>
          <t>Kyushu/Okinawa</t>
        </is>
      </c>
      <c r="E88" t="inlineStr">
        <is>
          <t>Okinawa</t>
        </is>
      </c>
      <c r="F88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88" t="inlineStr">
        <is>
          <t>Auditoría técnica Phase 2 (Nihon Travel Explorer) — validación editorial interna</t>
        </is>
      </c>
      <c r="H88" t="inlineStr">
        <is>
          <t>2026-09-02</t>
        </is>
      </c>
      <c r="I88" t="inlineStr">
        <is>
          <t>✅ ACEPTADA</t>
        </is>
      </c>
    </row>
    <row r="89">
      <c r="A89" t="inlineStr">
        <is>
          <t>JP-156</t>
        </is>
      </c>
      <c r="B89" t="inlineStr">
        <is>
          <t>Sakaemachi Arcade nightlife</t>
        </is>
      </c>
      <c r="C89" t="inlineStr">
        <is>
          <t>Corrección de taxonomía regional</t>
        </is>
      </c>
      <c r="D89" t="inlineStr">
        <is>
          <t>Kyushu/Okinawa</t>
        </is>
      </c>
      <c r="E89" t="inlineStr">
        <is>
          <t>Okinawa</t>
        </is>
      </c>
      <c r="F89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89" t="inlineStr">
        <is>
          <t>Auditoría técnica Phase 2 (Nihon Travel Explorer) — validación editorial interna</t>
        </is>
      </c>
      <c r="H89" t="inlineStr">
        <is>
          <t>2026-09-02</t>
        </is>
      </c>
      <c r="I89" t="inlineStr">
        <is>
          <t>✅ ACEPTADA</t>
        </is>
      </c>
    </row>
    <row r="90">
      <c r="A90" t="inlineStr">
        <is>
          <t>JP-157</t>
        </is>
      </c>
      <c r="B90" t="inlineStr">
        <is>
          <t>Shurijo Castle Park</t>
        </is>
      </c>
      <c r="C90" t="inlineStr">
        <is>
          <t>Corrección de taxonomía regional</t>
        </is>
      </c>
      <c r="D90" t="inlineStr">
        <is>
          <t>Kyushu/Okinawa</t>
        </is>
      </c>
      <c r="E90" t="inlineStr">
        <is>
          <t>Okinawa</t>
        </is>
      </c>
      <c r="F90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0" t="inlineStr">
        <is>
          <t>Auditoría técnica Phase 2 (Nihon Travel Explorer) — validación editorial interna</t>
        </is>
      </c>
      <c r="H90" t="inlineStr">
        <is>
          <t>2026-09-02</t>
        </is>
      </c>
      <c r="I90" t="inlineStr">
        <is>
          <t>✅ ACEPTADA</t>
        </is>
      </c>
    </row>
    <row r="91">
      <c r="A91" t="inlineStr">
        <is>
          <t>JP-158</t>
        </is>
      </c>
      <c r="B91" t="inlineStr">
        <is>
          <t>Tamaudun Royal Mausoleum</t>
        </is>
      </c>
      <c r="C91" t="inlineStr">
        <is>
          <t>Corrección de taxonomía regional</t>
        </is>
      </c>
      <c r="D91" t="inlineStr">
        <is>
          <t>Kyushu/Okinawa</t>
        </is>
      </c>
      <c r="E91" t="inlineStr">
        <is>
          <t>Okinawa</t>
        </is>
      </c>
      <c r="F91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1" t="inlineStr">
        <is>
          <t>Auditoría técnica Phase 2 (Nihon Travel Explorer) — validación editorial interna</t>
        </is>
      </c>
      <c r="H91" t="inlineStr">
        <is>
          <t>2026-09-02</t>
        </is>
      </c>
      <c r="I91" t="inlineStr">
        <is>
          <t>✅ ACEPTADA</t>
        </is>
      </c>
    </row>
    <row r="92">
      <c r="A92" t="inlineStr">
        <is>
          <t>JP-159</t>
        </is>
      </c>
      <c r="B92" t="inlineStr">
        <is>
          <t>Kinjo-cho Stone-Paved Road</t>
        </is>
      </c>
      <c r="C92" t="inlineStr">
        <is>
          <t>Corrección de taxonomía regional</t>
        </is>
      </c>
      <c r="D92" t="inlineStr">
        <is>
          <t>Kyushu/Okinawa</t>
        </is>
      </c>
      <c r="E92" t="inlineStr">
        <is>
          <t>Okinawa</t>
        </is>
      </c>
      <c r="F92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2" t="inlineStr">
        <is>
          <t>Auditoría técnica Phase 2 (Nihon Travel Explorer) — validación editorial interna</t>
        </is>
      </c>
      <c r="H92" t="inlineStr">
        <is>
          <t>2026-09-02</t>
        </is>
      </c>
      <c r="I92" t="inlineStr">
        <is>
          <t>✅ ACEPTADA</t>
        </is>
      </c>
    </row>
    <row r="93">
      <c r="A93" t="inlineStr">
        <is>
          <t>JP-160</t>
        </is>
      </c>
      <c r="B93" t="inlineStr">
        <is>
          <t>Shikina-en Royal Garden</t>
        </is>
      </c>
      <c r="C93" t="inlineStr">
        <is>
          <t>Corrección de taxonomía regional</t>
        </is>
      </c>
      <c r="D93" t="inlineStr">
        <is>
          <t>Kyushu/Okinawa</t>
        </is>
      </c>
      <c r="E93" t="inlineStr">
        <is>
          <t>Okinawa</t>
        </is>
      </c>
      <c r="F93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3" t="inlineStr">
        <is>
          <t>Auditoría técnica Phase 2 (Nihon Travel Explorer) — validación editorial interna</t>
        </is>
      </c>
      <c r="H93" t="inlineStr">
        <is>
          <t>2026-09-02</t>
        </is>
      </c>
      <c r="I93" t="inlineStr">
        <is>
          <t>✅ ACEPTADA</t>
        </is>
      </c>
    </row>
    <row r="94">
      <c r="A94" t="inlineStr">
        <is>
          <t>JP-161</t>
        </is>
      </c>
      <c r="B94" t="inlineStr">
        <is>
          <t>Okinawa Prefectural Museum &amp; Art Museum</t>
        </is>
      </c>
      <c r="C94" t="inlineStr">
        <is>
          <t>Corrección de taxonomía regional</t>
        </is>
      </c>
      <c r="D94" t="inlineStr">
        <is>
          <t>Kyushu/Okinawa</t>
        </is>
      </c>
      <c r="E94" t="inlineStr">
        <is>
          <t>Okinawa</t>
        </is>
      </c>
      <c r="F94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4" t="inlineStr">
        <is>
          <t>Auditoría técnica Phase 2 (Nihon Travel Explorer) — validación editorial interna</t>
        </is>
      </c>
      <c r="H94" t="inlineStr">
        <is>
          <t>2026-09-02</t>
        </is>
      </c>
      <c r="I94" t="inlineStr">
        <is>
          <t>✅ ACEPTADA</t>
        </is>
      </c>
    </row>
    <row r="95">
      <c r="A95" t="inlineStr">
        <is>
          <t>JP-162</t>
        </is>
      </c>
      <c r="B95" t="inlineStr">
        <is>
          <t>Sefa Utaki</t>
        </is>
      </c>
      <c r="C95" t="inlineStr">
        <is>
          <t>Corrección de taxonomía regional</t>
        </is>
      </c>
      <c r="D95" t="inlineStr">
        <is>
          <t>Kyushu/Okinawa</t>
        </is>
      </c>
      <c r="E95" t="inlineStr">
        <is>
          <t>Okinawa</t>
        </is>
      </c>
      <c r="F95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5" t="inlineStr">
        <is>
          <t>Auditoría técnica Phase 2 (Nihon Travel Explorer) — validación editorial interna</t>
        </is>
      </c>
      <c r="H95" t="inlineStr">
        <is>
          <t>2026-09-02</t>
        </is>
      </c>
      <c r="I95" t="inlineStr">
        <is>
          <t>✅ ACEPTADA</t>
        </is>
      </c>
    </row>
    <row r="96">
      <c r="A96" t="inlineStr">
        <is>
          <t>JP-163</t>
        </is>
      </c>
      <c r="B96" t="inlineStr">
        <is>
          <t>Valley of Gangala</t>
        </is>
      </c>
      <c r="C96" t="inlineStr">
        <is>
          <t>Corrección de taxonomía regional</t>
        </is>
      </c>
      <c r="D96" t="inlineStr">
        <is>
          <t>Kyushu/Okinawa</t>
        </is>
      </c>
      <c r="E96" t="inlineStr">
        <is>
          <t>Okinawa</t>
        </is>
      </c>
      <c r="F96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6" t="inlineStr">
        <is>
          <t>Auditoría técnica Phase 2 (Nihon Travel Explorer) — validación editorial interna</t>
        </is>
      </c>
      <c r="H96" t="inlineStr">
        <is>
          <t>2026-09-02</t>
        </is>
      </c>
      <c r="I96" t="inlineStr">
        <is>
          <t>✅ ACEPTADA</t>
        </is>
      </c>
    </row>
    <row r="97">
      <c r="A97" t="inlineStr">
        <is>
          <t>JP-164</t>
        </is>
      </c>
      <c r="B97" t="inlineStr">
        <is>
          <t>Cape Chinen Park</t>
        </is>
      </c>
      <c r="C97" t="inlineStr">
        <is>
          <t>Corrección de taxonomía regional</t>
        </is>
      </c>
      <c r="D97" t="inlineStr">
        <is>
          <t>Kyushu/Okinawa</t>
        </is>
      </c>
      <c r="E97" t="inlineStr">
        <is>
          <t>Okinawa</t>
        </is>
      </c>
      <c r="F97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7" t="inlineStr">
        <is>
          <t>Auditoría técnica Phase 2 (Nihon Travel Explorer) — validación editorial interna</t>
        </is>
      </c>
      <c r="H97" t="inlineStr">
        <is>
          <t>2026-09-02</t>
        </is>
      </c>
      <c r="I97" t="inlineStr">
        <is>
          <t>✅ ACEPTADA</t>
        </is>
      </c>
    </row>
    <row r="98">
      <c r="A98" t="inlineStr">
        <is>
          <t>JP-165</t>
        </is>
      </c>
      <c r="B98" t="inlineStr">
        <is>
          <t>Kudaka Island</t>
        </is>
      </c>
      <c r="C98" t="inlineStr">
        <is>
          <t>Corrección de taxonomía regional</t>
        </is>
      </c>
      <c r="D98" t="inlineStr">
        <is>
          <t>Kyushu/Okinawa</t>
        </is>
      </c>
      <c r="E98" t="inlineStr">
        <is>
          <t>Okinawa</t>
        </is>
      </c>
      <c r="F98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8" t="inlineStr">
        <is>
          <t>Auditoría técnica Phase 2 (Nihon Travel Explorer) — validación editorial interna</t>
        </is>
      </c>
      <c r="H98" t="inlineStr">
        <is>
          <t>2026-09-02</t>
        </is>
      </c>
      <c r="I98" t="inlineStr">
        <is>
          <t>✅ ACEPTADA</t>
        </is>
      </c>
    </row>
    <row r="99">
      <c r="A99" t="inlineStr">
        <is>
          <t>JP-166</t>
        </is>
      </c>
      <c r="B99" t="inlineStr">
        <is>
          <t>Mihama American Village</t>
        </is>
      </c>
      <c r="C99" t="inlineStr">
        <is>
          <t>Corrección de taxonomía regional</t>
        </is>
      </c>
      <c r="D99" t="inlineStr">
        <is>
          <t>Kyushu/Okinawa</t>
        </is>
      </c>
      <c r="E99" t="inlineStr">
        <is>
          <t>Okinawa</t>
        </is>
      </c>
      <c r="F99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99" t="inlineStr">
        <is>
          <t>Auditoría técnica Phase 2 (Nihon Travel Explorer) — validación editorial interna</t>
        </is>
      </c>
      <c r="H99" t="inlineStr">
        <is>
          <t>2026-09-02</t>
        </is>
      </c>
      <c r="I99" t="inlineStr">
        <is>
          <t>✅ ACEPTADA</t>
        </is>
      </c>
    </row>
    <row r="100">
      <c r="A100" t="inlineStr">
        <is>
          <t>JP-167</t>
        </is>
      </c>
      <c r="B100" t="inlineStr">
        <is>
          <t>Koza music district</t>
        </is>
      </c>
      <c r="C100" t="inlineStr">
        <is>
          <t>Corrección de taxonomía regional</t>
        </is>
      </c>
      <c r="D100" t="inlineStr">
        <is>
          <t>Kyushu/Okinawa</t>
        </is>
      </c>
      <c r="E100" t="inlineStr">
        <is>
          <t>Okinawa</t>
        </is>
      </c>
      <c r="F100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0" t="inlineStr">
        <is>
          <t>Auditoría técnica Phase 2 (Nihon Travel Explorer) — validación editorial interna</t>
        </is>
      </c>
      <c r="H100" t="inlineStr">
        <is>
          <t>2026-09-02</t>
        </is>
      </c>
      <c r="I100" t="inlineStr">
        <is>
          <t>✅ ACEPTADA</t>
        </is>
      </c>
    </row>
    <row r="101">
      <c r="A101" t="inlineStr">
        <is>
          <t>JP-168</t>
        </is>
      </c>
      <c r="B101" t="inlineStr">
        <is>
          <t>Yachimun no Sato</t>
        </is>
      </c>
      <c r="C101" t="inlineStr">
        <is>
          <t>Corrección de taxonomía regional</t>
        </is>
      </c>
      <c r="D101" t="inlineStr">
        <is>
          <t>Kyushu/Okinawa</t>
        </is>
      </c>
      <c r="E101" t="inlineStr">
        <is>
          <t>Okinawa</t>
        </is>
      </c>
      <c r="F101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1" t="inlineStr">
        <is>
          <t>Auditoría técnica Phase 2 (Nihon Travel Explorer) — validación editorial interna</t>
        </is>
      </c>
      <c r="H101" t="inlineStr">
        <is>
          <t>2026-09-02</t>
        </is>
      </c>
      <c r="I101" t="inlineStr">
        <is>
          <t>✅ ACEPTADA</t>
        </is>
      </c>
    </row>
    <row r="102">
      <c r="A102" t="inlineStr">
        <is>
          <t>JP-169</t>
        </is>
      </c>
      <c r="B102" t="inlineStr">
        <is>
          <t>Zakimi Castle Ruins</t>
        </is>
      </c>
      <c r="C102" t="inlineStr">
        <is>
          <t>Corrección de taxonomía regional</t>
        </is>
      </c>
      <c r="D102" t="inlineStr">
        <is>
          <t>Kyushu/Okinawa</t>
        </is>
      </c>
      <c r="E102" t="inlineStr">
        <is>
          <t>Okinawa</t>
        </is>
      </c>
      <c r="F102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2" t="inlineStr">
        <is>
          <t>Auditoría técnica Phase 2 (Nihon Travel Explorer) — validación editorial interna</t>
        </is>
      </c>
      <c r="H102" t="inlineStr">
        <is>
          <t>2026-09-02</t>
        </is>
      </c>
      <c r="I102" t="inlineStr">
        <is>
          <t>✅ ACEPTADA</t>
        </is>
      </c>
    </row>
    <row r="103">
      <c r="A103" t="inlineStr">
        <is>
          <t>JP-170</t>
        </is>
      </c>
      <c r="B103" t="inlineStr">
        <is>
          <t>Katsuren Castle Ruins</t>
        </is>
      </c>
      <c r="C103" t="inlineStr">
        <is>
          <t>Corrección de taxonomía regional</t>
        </is>
      </c>
      <c r="D103" t="inlineStr">
        <is>
          <t>Kyushu/Okinawa</t>
        </is>
      </c>
      <c r="E103" t="inlineStr">
        <is>
          <t>Okinawa</t>
        </is>
      </c>
      <c r="F103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3" t="inlineStr">
        <is>
          <t>Auditoría técnica Phase 2 (Nihon Travel Explorer) — validación editorial interna</t>
        </is>
      </c>
      <c r="H103" t="inlineStr">
        <is>
          <t>2026-09-02</t>
        </is>
      </c>
      <c r="I103" t="inlineStr">
        <is>
          <t>✅ ACEPTADA</t>
        </is>
      </c>
    </row>
    <row r="104">
      <c r="A104" t="inlineStr">
        <is>
          <t>JP-171</t>
        </is>
      </c>
      <c r="B104" t="inlineStr">
        <is>
          <t>Blue Cave at Cape Maeda</t>
        </is>
      </c>
      <c r="C104" t="inlineStr">
        <is>
          <t>Corrección de taxonomía regional</t>
        </is>
      </c>
      <c r="D104" t="inlineStr">
        <is>
          <t>Kyushu/Okinawa</t>
        </is>
      </c>
      <c r="E104" t="inlineStr">
        <is>
          <t>Okinawa</t>
        </is>
      </c>
      <c r="F104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4" t="inlineStr">
        <is>
          <t>Auditoría técnica Phase 2 (Nihon Travel Explorer) — validación editorial interna</t>
        </is>
      </c>
      <c r="H104" t="inlineStr">
        <is>
          <t>2026-09-02</t>
        </is>
      </c>
      <c r="I104" t="inlineStr">
        <is>
          <t>✅ ACEPTADA</t>
        </is>
      </c>
    </row>
    <row r="105">
      <c r="A105" t="inlineStr">
        <is>
          <t>JP-172</t>
        </is>
      </c>
      <c r="B105" t="inlineStr">
        <is>
          <t>Cape Manzamo</t>
        </is>
      </c>
      <c r="C105" t="inlineStr">
        <is>
          <t>Corrección de taxonomía regional</t>
        </is>
      </c>
      <c r="D105" t="inlineStr">
        <is>
          <t>Kyushu/Okinawa</t>
        </is>
      </c>
      <c r="E105" t="inlineStr">
        <is>
          <t>Okinawa</t>
        </is>
      </c>
      <c r="F105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5" t="inlineStr">
        <is>
          <t>Auditoría técnica Phase 2 (Nihon Travel Explorer) — validación editorial interna</t>
        </is>
      </c>
      <c r="H105" t="inlineStr">
        <is>
          <t>2026-09-02</t>
        </is>
      </c>
      <c r="I105" t="inlineStr">
        <is>
          <t>✅ ACEPTADA</t>
        </is>
      </c>
    </row>
    <row r="106">
      <c r="A106" t="inlineStr">
        <is>
          <t>JP-173</t>
        </is>
      </c>
      <c r="B106" t="inlineStr">
        <is>
          <t>Okinawa Churaumi Aquarium</t>
        </is>
      </c>
      <c r="C106" t="inlineStr">
        <is>
          <t>Corrección de taxonomía regional</t>
        </is>
      </c>
      <c r="D106" t="inlineStr">
        <is>
          <t>Kyushu/Okinawa</t>
        </is>
      </c>
      <c r="E106" t="inlineStr">
        <is>
          <t>Okinawa</t>
        </is>
      </c>
      <c r="F106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6" t="inlineStr">
        <is>
          <t>Auditoría técnica Phase 2 (Nihon Travel Explorer) — validación editorial interna</t>
        </is>
      </c>
      <c r="H106" t="inlineStr">
        <is>
          <t>2026-09-02</t>
        </is>
      </c>
      <c r="I106" t="inlineStr">
        <is>
          <t>✅ ACEPTADA</t>
        </is>
      </c>
    </row>
    <row r="107">
      <c r="A107" t="inlineStr">
        <is>
          <t>JP-174</t>
        </is>
      </c>
      <c r="B107" t="inlineStr">
        <is>
          <t>Bise Fukugi Tree Road</t>
        </is>
      </c>
      <c r="C107" t="inlineStr">
        <is>
          <t>Corrección de taxonomía regional</t>
        </is>
      </c>
      <c r="D107" t="inlineStr">
        <is>
          <t>Kyushu/Okinawa</t>
        </is>
      </c>
      <c r="E107" t="inlineStr">
        <is>
          <t>Okinawa</t>
        </is>
      </c>
      <c r="F107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7" t="inlineStr">
        <is>
          <t>Auditoría técnica Phase 2 (Nihon Travel Explorer) — validación editorial interna</t>
        </is>
      </c>
      <c r="H107" t="inlineStr">
        <is>
          <t>2026-09-02</t>
        </is>
      </c>
      <c r="I107" t="inlineStr">
        <is>
          <t>✅ ACEPTADA</t>
        </is>
      </c>
    </row>
    <row r="108">
      <c r="A108" t="inlineStr">
        <is>
          <t>JP-175</t>
        </is>
      </c>
      <c r="B108" t="inlineStr">
        <is>
          <t>Nakijin Castle Ruins</t>
        </is>
      </c>
      <c r="C108" t="inlineStr">
        <is>
          <t>Corrección de taxonomía regional</t>
        </is>
      </c>
      <c r="D108" t="inlineStr">
        <is>
          <t>Kyushu/Okinawa</t>
        </is>
      </c>
      <c r="E108" t="inlineStr">
        <is>
          <t>Okinawa</t>
        </is>
      </c>
      <c r="F108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8" t="inlineStr">
        <is>
          <t>Auditoría técnica Phase 2 (Nihon Travel Explorer) — validación editorial interna</t>
        </is>
      </c>
      <c r="H108" t="inlineStr">
        <is>
          <t>2026-09-02</t>
        </is>
      </c>
      <c r="I108" t="inlineStr">
        <is>
          <t>✅ ACEPTADA</t>
        </is>
      </c>
    </row>
    <row r="109">
      <c r="A109" t="inlineStr">
        <is>
          <t>JP-176</t>
        </is>
      </c>
      <c r="B109" t="inlineStr">
        <is>
          <t>Kouri Island and bridge</t>
        </is>
      </c>
      <c r="C109" t="inlineStr">
        <is>
          <t>Corrección de taxonomía regional</t>
        </is>
      </c>
      <c r="D109" t="inlineStr">
        <is>
          <t>Kyushu/Okinawa</t>
        </is>
      </c>
      <c r="E109" t="inlineStr">
        <is>
          <t>Okinawa</t>
        </is>
      </c>
      <c r="F109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09" t="inlineStr">
        <is>
          <t>Auditoría técnica Phase 2 (Nihon Travel Explorer) — validación editorial interna</t>
        </is>
      </c>
      <c r="H109" t="inlineStr">
        <is>
          <t>2026-09-02</t>
        </is>
      </c>
      <c r="I109" t="inlineStr">
        <is>
          <t>✅ ACEPTADA</t>
        </is>
      </c>
    </row>
    <row r="110">
      <c r="A110" t="inlineStr">
        <is>
          <t>JP-177</t>
        </is>
      </c>
      <c r="B110" t="inlineStr">
        <is>
          <t>Heart Rock</t>
        </is>
      </c>
      <c r="C110" t="inlineStr">
        <is>
          <t>Corrección de taxonomía regional</t>
        </is>
      </c>
      <c r="D110" t="inlineStr">
        <is>
          <t>Kyushu/Okinawa</t>
        </is>
      </c>
      <c r="E110" t="inlineStr">
        <is>
          <t>Okinawa</t>
        </is>
      </c>
      <c r="F110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0" t="inlineStr">
        <is>
          <t>Auditoría técnica Phase 2 (Nihon Travel Explorer) — validación editorial interna</t>
        </is>
      </c>
      <c r="H110" t="inlineStr">
        <is>
          <t>2026-09-02</t>
        </is>
      </c>
      <c r="I110" t="inlineStr">
        <is>
          <t>✅ ACEPTADA</t>
        </is>
      </c>
    </row>
    <row r="111">
      <c r="A111" t="inlineStr">
        <is>
          <t>JP-178</t>
        </is>
      </c>
      <c r="B111" t="inlineStr">
        <is>
          <t>JUNGLIA OKINAWA</t>
        </is>
      </c>
      <c r="C111" t="inlineStr">
        <is>
          <t>Corrección de taxonomía regional</t>
        </is>
      </c>
      <c r="D111" t="inlineStr">
        <is>
          <t>Kyushu/Okinawa</t>
        </is>
      </c>
      <c r="E111" t="inlineStr">
        <is>
          <t>Okinawa</t>
        </is>
      </c>
      <c r="F111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1" t="inlineStr">
        <is>
          <t>Auditoría técnica Phase 2 (Nihon Travel Explorer) — validación editorial interna</t>
        </is>
      </c>
      <c r="H111" t="inlineStr">
        <is>
          <t>2026-09-02</t>
        </is>
      </c>
      <c r="I111" t="inlineStr">
        <is>
          <t>✅ ACEPTADA</t>
        </is>
      </c>
    </row>
    <row r="112">
      <c r="A112" t="inlineStr">
        <is>
          <t>JP-179</t>
        </is>
      </c>
      <c r="B112" t="inlineStr">
        <is>
          <t>Yambaru National Park</t>
        </is>
      </c>
      <c r="C112" t="inlineStr">
        <is>
          <t>Corrección de taxonomía regional</t>
        </is>
      </c>
      <c r="D112" t="inlineStr">
        <is>
          <t>Kyushu/Okinawa</t>
        </is>
      </c>
      <c r="E112" t="inlineStr">
        <is>
          <t>Okinawa</t>
        </is>
      </c>
      <c r="F112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2" t="inlineStr">
        <is>
          <t>Auditoría técnica Phase 2 (Nihon Travel Explorer) — validación editorial interna</t>
        </is>
      </c>
      <c r="H112" t="inlineStr">
        <is>
          <t>2026-09-02</t>
        </is>
      </c>
      <c r="I112" t="inlineStr">
        <is>
          <t>✅ ACEPTADA</t>
        </is>
      </c>
    </row>
    <row r="113">
      <c r="A113" t="inlineStr">
        <is>
          <t>JP-180</t>
        </is>
      </c>
      <c r="B113" t="inlineStr">
        <is>
          <t>Hiji Falls</t>
        </is>
      </c>
      <c r="C113" t="inlineStr">
        <is>
          <t>Corrección de taxonomía regional</t>
        </is>
      </c>
      <c r="D113" t="inlineStr">
        <is>
          <t>Kyushu/Okinawa</t>
        </is>
      </c>
      <c r="E113" t="inlineStr">
        <is>
          <t>Okinawa</t>
        </is>
      </c>
      <c r="F113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3" t="inlineStr">
        <is>
          <t>Auditoría técnica Phase 2 (Nihon Travel Explorer) — validación editorial interna</t>
        </is>
      </c>
      <c r="H113" t="inlineStr">
        <is>
          <t>2026-09-02</t>
        </is>
      </c>
      <c r="I113" t="inlineStr">
        <is>
          <t>✅ ACEPTADA</t>
        </is>
      </c>
    </row>
    <row r="114">
      <c r="A114" t="inlineStr">
        <is>
          <t>JP-181</t>
        </is>
      </c>
      <c r="B114" t="inlineStr">
        <is>
          <t>ASMUI Spiritual Hikes</t>
        </is>
      </c>
      <c r="C114" t="inlineStr">
        <is>
          <t>Corrección de taxonomía regional</t>
        </is>
      </c>
      <c r="D114" t="inlineStr">
        <is>
          <t>Kyushu/Okinawa</t>
        </is>
      </c>
      <c r="E114" t="inlineStr">
        <is>
          <t>Okinawa</t>
        </is>
      </c>
      <c r="F114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4" t="inlineStr">
        <is>
          <t>Auditoría técnica Phase 2 (Nihon Travel Explorer) — validación editorial interna</t>
        </is>
      </c>
      <c r="H114" t="inlineStr">
        <is>
          <t>2026-09-02</t>
        </is>
      </c>
      <c r="I114" t="inlineStr">
        <is>
          <t>✅ ACEPTADA</t>
        </is>
      </c>
    </row>
    <row r="115">
      <c r="A115" t="inlineStr">
        <is>
          <t>JP-182</t>
        </is>
      </c>
      <c r="B115" t="inlineStr">
        <is>
          <t>Cape Hedo</t>
        </is>
      </c>
      <c r="C115" t="inlineStr">
        <is>
          <t>Corrección de taxonomía regional</t>
        </is>
      </c>
      <c r="D115" t="inlineStr">
        <is>
          <t>Kyushu/Okinawa</t>
        </is>
      </c>
      <c r="E115" t="inlineStr">
        <is>
          <t>Okinawa</t>
        </is>
      </c>
      <c r="F115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5" t="inlineStr">
        <is>
          <t>Auditoría técnica Phase 2 (Nihon Travel Explorer) — validación editorial interna</t>
        </is>
      </c>
      <c r="H115" t="inlineStr">
        <is>
          <t>2026-09-02</t>
        </is>
      </c>
      <c r="I115" t="inlineStr">
        <is>
          <t>✅ ACEPTADA</t>
        </is>
      </c>
    </row>
    <row r="116">
      <c r="A116" t="inlineStr">
        <is>
          <t>JP-183</t>
        </is>
      </c>
      <c r="B116" t="inlineStr">
        <is>
          <t>Gesashi Bay Mangrove Kayak</t>
        </is>
      </c>
      <c r="C116" t="inlineStr">
        <is>
          <t>Corrección de taxonomía regional</t>
        </is>
      </c>
      <c r="D116" t="inlineStr">
        <is>
          <t>Kyushu/Okinawa</t>
        </is>
      </c>
      <c r="E116" t="inlineStr">
        <is>
          <t>Okinawa</t>
        </is>
      </c>
      <c r="F116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6" t="inlineStr">
        <is>
          <t>Auditoría técnica Phase 2 (Nihon Travel Explorer) — validación editorial interna</t>
        </is>
      </c>
      <c r="H116" t="inlineStr">
        <is>
          <t>2026-09-02</t>
        </is>
      </c>
      <c r="I116" t="inlineStr">
        <is>
          <t>✅ ACEPTADA</t>
        </is>
      </c>
    </row>
    <row r="117">
      <c r="A117" t="inlineStr">
        <is>
          <t>JP-184</t>
        </is>
      </c>
      <c r="B117" t="inlineStr">
        <is>
          <t>Zamami Island</t>
        </is>
      </c>
      <c r="C117" t="inlineStr">
        <is>
          <t>Corrección de taxonomía regional</t>
        </is>
      </c>
      <c r="D117" t="inlineStr">
        <is>
          <t>Kyushu/Okinawa</t>
        </is>
      </c>
      <c r="E117" t="inlineStr">
        <is>
          <t>Okinawa</t>
        </is>
      </c>
      <c r="F117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7" t="inlineStr">
        <is>
          <t>Auditoría técnica Phase 2 (Nihon Travel Explorer) — validación editorial interna</t>
        </is>
      </c>
      <c r="H117" t="inlineStr">
        <is>
          <t>2026-09-02</t>
        </is>
      </c>
      <c r="I117" t="inlineStr">
        <is>
          <t>✅ ACEPTADA</t>
        </is>
      </c>
    </row>
    <row r="118">
      <c r="A118" t="inlineStr">
        <is>
          <t>JP-185</t>
        </is>
      </c>
      <c r="B118" t="inlineStr">
        <is>
          <t>Furuzamami Beach</t>
        </is>
      </c>
      <c r="C118" t="inlineStr">
        <is>
          <t>Corrección de taxonomía regional</t>
        </is>
      </c>
      <c r="D118" t="inlineStr">
        <is>
          <t>Kyushu/Okinawa</t>
        </is>
      </c>
      <c r="E118" t="inlineStr">
        <is>
          <t>Okinawa</t>
        </is>
      </c>
      <c r="F118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8" t="inlineStr">
        <is>
          <t>Auditoría técnica Phase 2 (Nihon Travel Explorer) — validación editorial interna</t>
        </is>
      </c>
      <c r="H118" t="inlineStr">
        <is>
          <t>2026-09-02</t>
        </is>
      </c>
      <c r="I118" t="inlineStr">
        <is>
          <t>✅ ACEPTADA</t>
        </is>
      </c>
    </row>
    <row r="119">
      <c r="A119" t="inlineStr">
        <is>
          <t>JP-186</t>
        </is>
      </c>
      <c r="B119" t="inlineStr">
        <is>
          <t>Aka Island</t>
        </is>
      </c>
      <c r="C119" t="inlineStr">
        <is>
          <t>Corrección de taxonomía regional</t>
        </is>
      </c>
      <c r="D119" t="inlineStr">
        <is>
          <t>Kyushu/Okinawa</t>
        </is>
      </c>
      <c r="E119" t="inlineStr">
        <is>
          <t>Okinawa</t>
        </is>
      </c>
      <c r="F119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19" t="inlineStr">
        <is>
          <t>Auditoría técnica Phase 2 (Nihon Travel Explorer) — validación editorial interna</t>
        </is>
      </c>
      <c r="H119" t="inlineStr">
        <is>
          <t>2026-09-02</t>
        </is>
      </c>
      <c r="I119" t="inlineStr">
        <is>
          <t>✅ ACEPTADA</t>
        </is>
      </c>
    </row>
    <row r="120">
      <c r="A120" t="inlineStr">
        <is>
          <t>JP-187</t>
        </is>
      </c>
      <c r="B120" t="inlineStr">
        <is>
          <t>Aharen Beach</t>
        </is>
      </c>
      <c r="C120" t="inlineStr">
        <is>
          <t>Corrección de taxonomía regional</t>
        </is>
      </c>
      <c r="D120" t="inlineStr">
        <is>
          <t>Kyushu/Okinawa</t>
        </is>
      </c>
      <c r="E120" t="inlineStr">
        <is>
          <t>Okinawa</t>
        </is>
      </c>
      <c r="F120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0" t="inlineStr">
        <is>
          <t>Auditoría técnica Phase 2 (Nihon Travel Explorer) — validación editorial interna</t>
        </is>
      </c>
      <c r="H120" t="inlineStr">
        <is>
          <t>2026-09-02</t>
        </is>
      </c>
      <c r="I120" t="inlineStr">
        <is>
          <t>✅ ACEPTADA</t>
        </is>
      </c>
    </row>
    <row r="121">
      <c r="A121" t="inlineStr">
        <is>
          <t>JP-188</t>
        </is>
      </c>
      <c r="B121" t="inlineStr">
        <is>
          <t>Yonaha Maehama Beach</t>
        </is>
      </c>
      <c r="C121" t="inlineStr">
        <is>
          <t>Corrección de taxonomía regional</t>
        </is>
      </c>
      <c r="D121" t="inlineStr">
        <is>
          <t>Kyushu/Okinawa</t>
        </is>
      </c>
      <c r="E121" t="inlineStr">
        <is>
          <t>Okinawa</t>
        </is>
      </c>
      <c r="F121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1" t="inlineStr">
        <is>
          <t>Auditoría técnica Phase 2 (Nihon Travel Explorer) — validación editorial interna</t>
        </is>
      </c>
      <c r="H121" t="inlineStr">
        <is>
          <t>2026-09-02</t>
        </is>
      </c>
      <c r="I121" t="inlineStr">
        <is>
          <t>✅ ACEPTADA</t>
        </is>
      </c>
    </row>
    <row r="122">
      <c r="A122" t="inlineStr">
        <is>
          <t>JP-189</t>
        </is>
      </c>
      <c r="B122" t="inlineStr">
        <is>
          <t>Irabu Bridge</t>
        </is>
      </c>
      <c r="C122" t="inlineStr">
        <is>
          <t>Corrección de taxonomía regional</t>
        </is>
      </c>
      <c r="D122" t="inlineStr">
        <is>
          <t>Kyushu/Okinawa</t>
        </is>
      </c>
      <c r="E122" t="inlineStr">
        <is>
          <t>Okinawa</t>
        </is>
      </c>
      <c r="F122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2" t="inlineStr">
        <is>
          <t>Auditoría técnica Phase 2 (Nihon Travel Explorer) — validación editorial interna</t>
        </is>
      </c>
      <c r="H122" t="inlineStr">
        <is>
          <t>2026-09-02</t>
        </is>
      </c>
      <c r="I122" t="inlineStr">
        <is>
          <t>✅ ACEPTADA</t>
        </is>
      </c>
    </row>
    <row r="123">
      <c r="A123" t="inlineStr">
        <is>
          <t>JP-190</t>
        </is>
      </c>
      <c r="B123" t="inlineStr">
        <is>
          <t>Toriike Ponds</t>
        </is>
      </c>
      <c r="C123" t="inlineStr">
        <is>
          <t>Corrección de taxonomía regional</t>
        </is>
      </c>
      <c r="D123" t="inlineStr">
        <is>
          <t>Kyushu/Okinawa</t>
        </is>
      </c>
      <c r="E123" t="inlineStr">
        <is>
          <t>Okinawa</t>
        </is>
      </c>
      <c r="F123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3" t="inlineStr">
        <is>
          <t>Auditoría técnica Phase 2 (Nihon Travel Explorer) — validación editorial interna</t>
        </is>
      </c>
      <c r="H123" t="inlineStr">
        <is>
          <t>2026-09-02</t>
        </is>
      </c>
      <c r="I123" t="inlineStr">
        <is>
          <t>✅ ACEPTADA</t>
        </is>
      </c>
    </row>
    <row r="124">
      <c r="A124" t="inlineStr">
        <is>
          <t>JP-191</t>
        </is>
      </c>
      <c r="B124" t="inlineStr">
        <is>
          <t>Yabiji coral reef</t>
        </is>
      </c>
      <c r="C124" t="inlineStr">
        <is>
          <t>Corrección de taxonomía regional</t>
        </is>
      </c>
      <c r="D124" t="inlineStr">
        <is>
          <t>Kyushu/Okinawa</t>
        </is>
      </c>
      <c r="E124" t="inlineStr">
        <is>
          <t>Okinawa</t>
        </is>
      </c>
      <c r="F124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4" t="inlineStr">
        <is>
          <t>Auditoría técnica Phase 2 (Nihon Travel Explorer) — validación editorial interna</t>
        </is>
      </c>
      <c r="H124" t="inlineStr">
        <is>
          <t>2026-09-02</t>
        </is>
      </c>
      <c r="I124" t="inlineStr">
        <is>
          <t>✅ ACEPTADA</t>
        </is>
      </c>
    </row>
    <row r="125">
      <c r="A125" t="inlineStr">
        <is>
          <t>JP-192</t>
        </is>
      </c>
      <c r="B125" t="inlineStr">
        <is>
          <t>Kabira Bay</t>
        </is>
      </c>
      <c r="C125" t="inlineStr">
        <is>
          <t>Corrección de taxonomía regional</t>
        </is>
      </c>
      <c r="D125" t="inlineStr">
        <is>
          <t>Kyushu/Okinawa</t>
        </is>
      </c>
      <c r="E125" t="inlineStr">
        <is>
          <t>Okinawa</t>
        </is>
      </c>
      <c r="F125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5" t="inlineStr">
        <is>
          <t>Auditoría técnica Phase 2 (Nihon Travel Explorer) — validación editorial interna</t>
        </is>
      </c>
      <c r="H125" t="inlineStr">
        <is>
          <t>2026-09-02</t>
        </is>
      </c>
      <c r="I125" t="inlineStr">
        <is>
          <t>✅ ACEPTADA</t>
        </is>
      </c>
    </row>
    <row r="126">
      <c r="A126" t="inlineStr">
        <is>
          <t>JP-193</t>
        </is>
      </c>
      <c r="B126" t="inlineStr">
        <is>
          <t>Yonehara Beach and coral</t>
        </is>
      </c>
      <c r="C126" t="inlineStr">
        <is>
          <t>Corrección de taxonomía regional</t>
        </is>
      </c>
      <c r="D126" t="inlineStr">
        <is>
          <t>Kyushu/Okinawa</t>
        </is>
      </c>
      <c r="E126" t="inlineStr">
        <is>
          <t>Okinawa</t>
        </is>
      </c>
      <c r="F126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6" t="inlineStr">
        <is>
          <t>Auditoría técnica Phase 2 (Nihon Travel Explorer) — validación editorial interna</t>
        </is>
      </c>
      <c r="H126" t="inlineStr">
        <is>
          <t>2026-09-02</t>
        </is>
      </c>
      <c r="I126" t="inlineStr">
        <is>
          <t>✅ ACEPTADA</t>
        </is>
      </c>
    </row>
    <row r="127">
      <c r="A127" t="inlineStr">
        <is>
          <t>JP-194</t>
        </is>
      </c>
      <c r="B127" t="inlineStr">
        <is>
          <t>Banna Park</t>
        </is>
      </c>
      <c r="C127" t="inlineStr">
        <is>
          <t>Corrección de taxonomía regional</t>
        </is>
      </c>
      <c r="D127" t="inlineStr">
        <is>
          <t>Kyushu/Okinawa</t>
        </is>
      </c>
      <c r="E127" t="inlineStr">
        <is>
          <t>Okinawa</t>
        </is>
      </c>
      <c r="F127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7" t="inlineStr">
        <is>
          <t>Auditoría técnica Phase 2 (Nihon Travel Explorer) — validación editorial interna</t>
        </is>
      </c>
      <c r="H127" t="inlineStr">
        <is>
          <t>2026-09-02</t>
        </is>
      </c>
      <c r="I127" t="inlineStr">
        <is>
          <t>✅ ACEPTADA</t>
        </is>
      </c>
    </row>
    <row r="128">
      <c r="A128" t="inlineStr">
        <is>
          <t>JP-195</t>
        </is>
      </c>
      <c r="B128" t="inlineStr">
        <is>
          <t>Yaeyama stargazing experience</t>
        </is>
      </c>
      <c r="C128" t="inlineStr">
        <is>
          <t>Corrección de taxonomía regional</t>
        </is>
      </c>
      <c r="D128" t="inlineStr">
        <is>
          <t>Kyushu/Okinawa</t>
        </is>
      </c>
      <c r="E128" t="inlineStr">
        <is>
          <t>Okinawa</t>
        </is>
      </c>
      <c r="F128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8" t="inlineStr">
        <is>
          <t>Auditoría técnica Phase 2 (Nihon Travel Explorer) — validación editorial interna</t>
        </is>
      </c>
      <c r="H128" t="inlineStr">
        <is>
          <t>2026-09-02</t>
        </is>
      </c>
      <c r="I128" t="inlineStr">
        <is>
          <t>✅ ACEPTADA</t>
        </is>
      </c>
    </row>
    <row r="129">
      <c r="A129" t="inlineStr">
        <is>
          <t>JP-196</t>
        </is>
      </c>
      <c r="B129" t="inlineStr">
        <is>
          <t>Taketomi Island village</t>
        </is>
      </c>
      <c r="C129" t="inlineStr">
        <is>
          <t>Corrección de taxonomía regional</t>
        </is>
      </c>
      <c r="D129" t="inlineStr">
        <is>
          <t>Kyushu/Okinawa</t>
        </is>
      </c>
      <c r="E129" t="inlineStr">
        <is>
          <t>Okinawa</t>
        </is>
      </c>
      <c r="F129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29" t="inlineStr">
        <is>
          <t>Auditoría técnica Phase 2 (Nihon Travel Explorer) — validación editorial interna</t>
        </is>
      </c>
      <c r="H129" t="inlineStr">
        <is>
          <t>2026-09-02</t>
        </is>
      </c>
      <c r="I129" t="inlineStr">
        <is>
          <t>✅ ACEPTADA</t>
        </is>
      </c>
    </row>
    <row r="130">
      <c r="A130" t="inlineStr">
        <is>
          <t>JP-197</t>
        </is>
      </c>
      <c r="B130" t="inlineStr">
        <is>
          <t>Iriomote mangrove and jungle expedition</t>
        </is>
      </c>
      <c r="C130" t="inlineStr">
        <is>
          <t>Corrección de taxonomía regional</t>
        </is>
      </c>
      <c r="D130" t="inlineStr">
        <is>
          <t>Kyushu/Okinawa</t>
        </is>
      </c>
      <c r="E130" t="inlineStr">
        <is>
          <t>Okinawa</t>
        </is>
      </c>
      <c r="F130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0" t="inlineStr">
        <is>
          <t>Auditoría técnica Phase 2 (Nihon Travel Explorer) — validación editorial interna</t>
        </is>
      </c>
      <c r="H130" t="inlineStr">
        <is>
          <t>2026-09-02</t>
        </is>
      </c>
      <c r="I130" t="inlineStr">
        <is>
          <t>✅ ACEPTADA</t>
        </is>
      </c>
    </row>
    <row r="131">
      <c r="A131" t="inlineStr">
        <is>
          <t>JP-198</t>
        </is>
      </c>
      <c r="B131" t="inlineStr">
        <is>
          <t>Pinaisara Falls</t>
        </is>
      </c>
      <c r="C131" t="inlineStr">
        <is>
          <t>Corrección de taxonomía regional</t>
        </is>
      </c>
      <c r="D131" t="inlineStr">
        <is>
          <t>Kyushu/Okinawa</t>
        </is>
      </c>
      <c r="E131" t="inlineStr">
        <is>
          <t>Okinawa</t>
        </is>
      </c>
      <c r="F131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1" t="inlineStr">
        <is>
          <t>Auditoría técnica Phase 2 (Nihon Travel Explorer) — validación editorial interna</t>
        </is>
      </c>
      <c r="H131" t="inlineStr">
        <is>
          <t>2026-09-02</t>
        </is>
      </c>
      <c r="I131" t="inlineStr">
        <is>
          <t>✅ ACEPTADA</t>
        </is>
      </c>
    </row>
    <row r="132">
      <c r="A132" t="inlineStr">
        <is>
          <t>JP-199</t>
        </is>
      </c>
      <c r="B132" t="inlineStr">
        <is>
          <t>Hateruma Island</t>
        </is>
      </c>
      <c r="C132" t="inlineStr">
        <is>
          <t>Corrección de taxonomía regional</t>
        </is>
      </c>
      <c r="D132" t="inlineStr">
        <is>
          <t>Kyushu/Okinawa</t>
        </is>
      </c>
      <c r="E132" t="inlineStr">
        <is>
          <t>Okinawa</t>
        </is>
      </c>
      <c r="F132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2" t="inlineStr">
        <is>
          <t>Auditoría técnica Phase 2 (Nihon Travel Explorer) — validación editorial interna</t>
        </is>
      </c>
      <c r="H132" t="inlineStr">
        <is>
          <t>2026-09-02</t>
        </is>
      </c>
      <c r="I132" t="inlineStr">
        <is>
          <t>✅ ACEPTADA</t>
        </is>
      </c>
    </row>
    <row r="133">
      <c r="A133" t="inlineStr">
        <is>
          <t>JP-200</t>
        </is>
      </c>
      <c r="B133" t="inlineStr">
        <is>
          <t>Yonaguni Island and underwater monument dive</t>
        </is>
      </c>
      <c r="C133" t="inlineStr">
        <is>
          <t>Corrección de taxonomía regional</t>
        </is>
      </c>
      <c r="D133" t="inlineStr">
        <is>
          <t>Kyushu/Okinawa</t>
        </is>
      </c>
      <c r="E133" t="inlineStr">
        <is>
          <t>Okinawa</t>
        </is>
      </c>
      <c r="F133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3" t="inlineStr">
        <is>
          <t>Auditoría técnica Phase 2 (Nihon Travel Explorer) — validación editorial interna</t>
        </is>
      </c>
      <c r="H133" t="inlineStr">
        <is>
          <t>2026-09-02</t>
        </is>
      </c>
      <c r="I133" t="inlineStr">
        <is>
          <t>✅ ACEPTADA</t>
        </is>
      </c>
    </row>
    <row r="134">
      <c r="A134" t="inlineStr">
        <is>
          <t>JP-201</t>
        </is>
      </c>
      <c r="B134" t="inlineStr">
        <is>
          <t>Hatenohama</t>
        </is>
      </c>
      <c r="C134" t="inlineStr">
        <is>
          <t>Corrección de taxonomía regional</t>
        </is>
      </c>
      <c r="D134" t="inlineStr">
        <is>
          <t>Kyushu/Okinawa</t>
        </is>
      </c>
      <c r="E134" t="inlineStr">
        <is>
          <t>Okinawa</t>
        </is>
      </c>
      <c r="F134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4" t="inlineStr">
        <is>
          <t>Auditoría técnica Phase 2 (Nihon Travel Explorer) — validación editorial interna</t>
        </is>
      </c>
      <c r="H134" t="inlineStr">
        <is>
          <t>2026-09-02</t>
        </is>
      </c>
      <c r="I134" t="inlineStr">
        <is>
          <t>✅ ACEPTADA</t>
        </is>
      </c>
    </row>
    <row r="135">
      <c r="A135" t="inlineStr">
        <is>
          <t>JP-202</t>
        </is>
      </c>
      <c r="B135" t="inlineStr">
        <is>
          <t>Whale watching in the Kerama waters</t>
        </is>
      </c>
      <c r="C135" t="inlineStr">
        <is>
          <t>Corrección de taxonomía regional</t>
        </is>
      </c>
      <c r="D135" t="inlineStr">
        <is>
          <t>Kyushu/Okinawa</t>
        </is>
      </c>
      <c r="E135" t="inlineStr">
        <is>
          <t>Okinawa</t>
        </is>
      </c>
      <c r="F135" t="inlineStr">
        <is>
          <t>Taxonomía geográfica limpia: Okinawa se trata como región propia, distinta de Kyushu (cuya única entrada, JP-214 Fukuoka, ya usaba región Kyushu). El valor combinado 'Kyushu/Okinawa' generaba ambigüedad regional en toda la base.</t>
        </is>
      </c>
      <c r="G135" t="inlineStr">
        <is>
          <t>Auditoría técnica Phase 2 (Nihon Travel Explorer) — validación editorial interna</t>
        </is>
      </c>
      <c r="H135" t="inlineStr">
        <is>
          <t>2026-09-02</t>
        </is>
      </c>
      <c r="I135" t="inlineStr">
        <is>
          <t>✅ ACEPTADA</t>
        </is>
      </c>
    </row>
    <row r="136">
      <c r="A136" t="inlineStr">
        <is>
          <t>JP-152</t>
        </is>
      </c>
      <c r="B136" t="inlineStr">
        <is>
          <t>Naoshima art island</t>
        </is>
      </c>
      <c r="C136" t="inlineStr">
        <is>
          <t>Corrección de región</t>
        </is>
      </c>
      <c r="D136" t="inlineStr">
        <is>
          <t>Kansai</t>
        </is>
      </c>
      <c r="E136" t="inlineStr">
        <is>
          <t>Shikoku</t>
        </is>
      </c>
      <c r="F136" t="inlineStr">
        <is>
          <t>Naoshima pertenece a la prefectura de Kagawa (ya correcta) en la región de Shikoku, no en Kansai; el campo Región no coincidía con la prefectura ya registrada.</t>
        </is>
      </c>
      <c r="G136" t="inlineStr">
        <is>
          <t>Auditoría técnica Phase 2 (Nihon Travel Explorer) — validación editorial interna</t>
        </is>
      </c>
      <c r="H136" t="inlineStr">
        <is>
          <t>2026-09-02</t>
        </is>
      </c>
      <c r="I136" t="inlineStr">
        <is>
          <t>✅ ACEPTADA</t>
        </is>
      </c>
    </row>
    <row r="137">
      <c r="A137" t="inlineStr">
        <is>
          <t>JP-203</t>
        </is>
      </c>
      <c r="B137" t="inlineStr">
        <is>
          <t>Tokyo Disneyland</t>
        </is>
      </c>
      <c r="C137" t="inlineStr">
        <is>
          <t>Corrección de desplazamiento de columnas (Cercanos)</t>
        </is>
      </c>
      <c r="D137" t="inlineStr">
        <is>
          <t>Hacia ID='Tokyo Disneyland'; Desde='JP-204'; Min aprox.='10 min'</t>
        </is>
      </c>
      <c r="E137" t="inlineStr">
        <is>
          <t>Hacia ID='JP-204'; Desde='Tokyo Disneyland'; Min aprox.=10</t>
        </is>
      </c>
      <c r="F137" t="inlineStr">
        <is>
          <t>Fila 403 de Cercanos tenía las columnas Desde/Hacia ID desplazadas, mezclando nombres de lugar con IDs. Corregido para reflejar la relación JP-203 → JP-204 (Disney Resort Line, 0.8 km, ~10 min, alternativas/complementos).</t>
        </is>
      </c>
      <c r="G137" t="inlineStr">
        <is>
          <t>Auditoría técnica Phase 2 (Nihon Travel Explorer) — validación editorial interna</t>
        </is>
      </c>
      <c r="H137" t="inlineStr">
        <is>
          <t>2026-09-02</t>
        </is>
      </c>
      <c r="I137" t="inlineStr">
        <is>
          <t>✅ ACEPTADA</t>
        </is>
      </c>
    </row>
    <row r="138">
      <c r="A138" t="inlineStr">
        <is>
          <t>JP-204</t>
        </is>
      </c>
      <c r="B138" t="inlineStr">
        <is>
          <t>Tokyo DisneySea</t>
        </is>
      </c>
      <c r="C138" t="inlineStr">
        <is>
          <t>Corrección de desplazamiento de columnas (Cercanos)</t>
        </is>
      </c>
      <c r="D138" t="inlineStr">
        <is>
          <t>Hacia ID='Tokyo DisneySea'; Desde='JP-203'; Min aprox.='10 min'</t>
        </is>
      </c>
      <c r="E138" t="inlineStr">
        <is>
          <t>Hacia ID='JP-203'; Desde='Tokyo DisneySea'; Min aprox.=10</t>
        </is>
      </c>
      <c r="F138" t="inlineStr">
        <is>
          <t>Fila 404 de Cercanos (relación inversa) tenía el mismo desplazamiento de columnas. Corregido para reflejar la relación JP-204 → JP-203.</t>
        </is>
      </c>
      <c r="G138" t="inlineStr">
        <is>
          <t>Auditoría técnica Phase 2 (Nihon Travel Explorer) — validación editorial interna</t>
        </is>
      </c>
      <c r="H138" t="inlineStr">
        <is>
          <t>2026-09-02</t>
        </is>
      </c>
      <c r="I138" t="inlineStr">
        <is>
          <t>✅ ACEPTADA</t>
        </is>
      </c>
    </row>
  </sheetData>
  <dataValidations count="2">
    <dataValidation sqref="C2:C85" showDropDown="0" showInputMessage="0" showErrorMessage="0" allowBlank="0" type="list">
      <formula1>"Corrección,Adición,Reclasificación,Hidden Gem,Estacionalidad,Apertura,Cierre,Reserva,Fuente,Normalización,Otro"</formula1>
    </dataValidation>
    <dataValidation sqref="I2:I85" showDropDown="0" showInputMessage="0" showErrorMessage="0" allowBlank="0" type="list">
      <formula1>"✅ ACEPTADA,⚠️ ACEPTADA CON CORRECCIÓN,❌ RECHAZADA,❓ PENDIENTE"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28" customWidth="1" min="4" max="4"/>
    <col width="55" customWidth="1" min="5" max="5"/>
    <col width="27" customWidth="1" min="6" max="6"/>
    <col width="47" customWidth="1" min="7" max="7"/>
    <col width="12" customWidth="1" min="8" max="8"/>
    <col width="12" customWidth="1" min="9" max="9"/>
  </cols>
  <sheetData>
    <row r="1" ht="30" customHeight="1">
      <c r="A1" s="75" t="inlineStr">
        <is>
          <t>ID</t>
        </is>
      </c>
      <c r="B1" s="75" t="inlineStr">
        <is>
          <t>Entrada / tema</t>
        </is>
      </c>
      <c r="C1" s="75" t="inlineStr">
        <is>
          <t>Categoría pendiente</t>
        </is>
      </c>
      <c r="D1" s="75" t="inlineStr">
        <is>
          <t>Estado actual</t>
        </is>
      </c>
      <c r="E1" s="75" t="inlineStr">
        <is>
          <t>Qué verificar</t>
        </is>
      </c>
      <c r="F1" s="75" t="inlineStr">
        <is>
          <t>Cuándo revisar</t>
        </is>
      </c>
      <c r="G1" s="75" t="inlineStr">
        <is>
          <t>Fuente</t>
        </is>
      </c>
      <c r="H1" s="75" t="inlineStr">
        <is>
          <t>Prioridad</t>
        </is>
      </c>
      <c r="I1" s="75" t="inlineStr">
        <is>
          <t>Estado</t>
        </is>
      </c>
    </row>
    <row r="2" ht="36" customHeight="1">
      <c r="A2" s="75" t="inlineStr">
        <is>
          <t>P-001</t>
        </is>
      </c>
      <c r="B2" s="75" t="inlineStr">
        <is>
          <t>Sakura nacional</t>
        </is>
      </c>
      <c r="C2" s="75" t="inlineStr">
        <is>
          <t>Estacionalidad</t>
        </is>
      </c>
      <c r="D2" s="75" t="inlineStr">
        <is>
          <t>PENDIENTE 2027</t>
        </is>
      </c>
      <c r="E2" s="75" t="inlineStr">
        <is>
          <t>Pronóstico y fechas reales de floración por región.</t>
        </is>
      </c>
      <c r="F2" s="75" t="inlineStr">
        <is>
          <t>Enero–febrero 2027</t>
        </is>
      </c>
      <c r="G2" s="75" t="inlineStr">
        <is>
          <t>https://www.japan.travel/en/</t>
        </is>
      </c>
      <c r="H2" s="75" t="inlineStr">
        <is>
          <t>Alta</t>
        </is>
      </c>
      <c r="I2" s="75" t="inlineStr">
        <is>
          <t>Abierto</t>
        </is>
      </c>
    </row>
    <row r="3" ht="36" customHeight="1">
      <c r="A3" s="75" t="inlineStr">
        <is>
          <t>P-002</t>
        </is>
      </c>
      <c r="B3" s="75" t="inlineStr">
        <is>
          <t>Ume</t>
        </is>
      </c>
      <c r="C3" s="75" t="inlineStr">
        <is>
          <t>Estacionalidad</t>
        </is>
      </c>
      <c r="D3" s="75" t="inlineStr">
        <is>
          <t>PENDIENTE 2027</t>
        </is>
      </c>
      <c r="E3" s="75" t="inlineStr">
        <is>
          <t>Picos de floración y eventos locales.</t>
        </is>
      </c>
      <c r="F3" s="75" t="inlineStr">
        <is>
          <t>Enero 2027</t>
        </is>
      </c>
      <c r="G3" s="75" t="inlineStr">
        <is>
          <t>https://www.japan.travel/en/</t>
        </is>
      </c>
      <c r="H3" s="75" t="inlineStr">
        <is>
          <t>Media</t>
        </is>
      </c>
      <c r="I3" s="75" t="inlineStr">
        <is>
          <t>Abierto</t>
        </is>
      </c>
    </row>
    <row r="4" ht="36" customHeight="1">
      <c r="A4" s="75" t="inlineStr">
        <is>
          <t>P-003</t>
        </is>
      </c>
      <c r="B4" s="75" t="inlineStr">
        <is>
          <t>Kawazu Cherry Blossom Festival</t>
        </is>
      </c>
      <c r="C4" s="75" t="inlineStr">
        <is>
          <t>Evento</t>
        </is>
      </c>
      <c r="D4" s="75" t="inlineStr">
        <is>
          <t>PENDIENTE 2027</t>
        </is>
      </c>
      <c r="E4" s="75" t="inlineStr">
        <is>
          <t>Fechas oficiales y estado de floración.</t>
        </is>
      </c>
      <c r="F4" s="75" t="inlineStr">
        <is>
          <t>Enero 2027</t>
        </is>
      </c>
      <c r="G4" s="75" t="inlineStr">
        <is>
          <t>https://kawazuzakura.net/</t>
        </is>
      </c>
      <c r="H4" s="75" t="inlineStr">
        <is>
          <t>Alta</t>
        </is>
      </c>
      <c r="I4" s="75" t="inlineStr">
        <is>
          <t>Abierto</t>
        </is>
      </c>
    </row>
    <row r="5" ht="36" customHeight="1">
      <c r="A5" s="75" t="inlineStr">
        <is>
          <t>P-004</t>
        </is>
      </c>
      <c r="B5" s="75" t="inlineStr">
        <is>
          <t>Sapporo Snow Festival</t>
        </is>
      </c>
      <c r="C5" s="75" t="inlineStr">
        <is>
          <t>Evento</t>
        </is>
      </c>
      <c r="D5" s="75" t="inlineStr">
        <is>
          <t>PENDIENTE 2027</t>
        </is>
      </c>
      <c r="E5" s="75" t="inlineStr">
        <is>
          <t>Fechas, sedes y actividades oficiales.</t>
        </is>
      </c>
      <c r="F5" s="75" t="inlineStr">
        <is>
          <t>Octubre–diciembre 2026</t>
        </is>
      </c>
      <c r="G5" s="75" t="inlineStr">
        <is>
          <t>https://www.snowfes.com/en/</t>
        </is>
      </c>
      <c r="H5" s="75" t="inlineStr">
        <is>
          <t>Alta</t>
        </is>
      </c>
      <c r="I5" s="75" t="inlineStr">
        <is>
          <t>Abierto</t>
        </is>
      </c>
    </row>
    <row r="6" ht="36" customHeight="1">
      <c r="A6" s="75" t="inlineStr">
        <is>
          <t>P-005</t>
        </is>
      </c>
      <c r="B6" s="75" t="inlineStr">
        <is>
          <t>Otaru Snow Light Path</t>
        </is>
      </c>
      <c r="C6" s="75" t="inlineStr">
        <is>
          <t>Evento</t>
        </is>
      </c>
      <c r="D6" s="75" t="inlineStr">
        <is>
          <t>PENDIENTE 2027</t>
        </is>
      </c>
      <c r="E6" s="75" t="inlineStr">
        <is>
          <t>Fechas, zonas iluminadas y transporte nocturno.</t>
        </is>
      </c>
      <c r="F6" s="75" t="inlineStr">
        <is>
          <t>Noviembre–diciembre 2026</t>
        </is>
      </c>
      <c r="G6" s="75" t="inlineStr">
        <is>
          <t>https://otaru-yukiakarinomichi.org/</t>
        </is>
      </c>
      <c r="H6" s="75" t="inlineStr">
        <is>
          <t>Alta</t>
        </is>
      </c>
      <c r="I6" s="75" t="inlineStr">
        <is>
          <t>Abierto</t>
        </is>
      </c>
    </row>
    <row r="7" ht="36" customHeight="1">
      <c r="A7" s="75" t="inlineStr">
        <is>
          <t>P-006</t>
        </is>
      </c>
      <c r="B7" s="75" t="inlineStr">
        <is>
          <t>Lake Shikotsu Ice Festival</t>
        </is>
      </c>
      <c r="C7" s="75" t="inlineStr">
        <is>
          <t>Evento</t>
        </is>
      </c>
      <c r="D7" s="75" t="inlineStr">
        <is>
          <t>PENDIENTE 2027</t>
        </is>
      </c>
      <c r="E7" s="75" t="inlineStr">
        <is>
          <t>Fechas, tarifa, buses y cierres por clima.</t>
        </is>
      </c>
      <c r="F7" s="75" t="inlineStr">
        <is>
          <t>Noviembre–diciembre 2026</t>
        </is>
      </c>
      <c r="G7" s="75" t="inlineStr">
        <is>
          <t>https://hyoutou-special.asia/</t>
        </is>
      </c>
      <c r="H7" s="75" t="inlineStr">
        <is>
          <t>Alta</t>
        </is>
      </c>
      <c r="I7" s="75" t="inlineStr">
        <is>
          <t>Abierto</t>
        </is>
      </c>
    </row>
    <row r="8" ht="36" customHeight="1">
      <c r="A8" s="75" t="inlineStr">
        <is>
          <t>P-007</t>
        </is>
      </c>
      <c r="B8" s="75" t="inlineStr">
        <is>
          <t>Tōdai-ji Shuni-e / Omizutori</t>
        </is>
      </c>
      <c r="C8" s="75" t="inlineStr">
        <is>
          <t>Evento</t>
        </is>
      </c>
      <c r="D8" s="75" t="inlineStr">
        <is>
          <t>PATRÓN HISTÓRICO / MUY PROBABLE</t>
        </is>
      </c>
      <c r="E8" s="75" t="inlineStr">
        <is>
          <t>Programa público, restricciones y horarios 2027.</t>
        </is>
      </c>
      <c r="F8" s="75" t="inlineStr">
        <is>
          <t>Enero 2027</t>
        </is>
      </c>
      <c r="G8" s="75" t="inlineStr">
        <is>
          <t>https://www.todaiji.or.jp/en/annual/event/shunie/</t>
        </is>
      </c>
      <c r="H8" s="75" t="inlineStr">
        <is>
          <t>Alta</t>
        </is>
      </c>
      <c r="I8" s="75" t="inlineStr">
        <is>
          <t>Abierto</t>
        </is>
      </c>
    </row>
    <row r="9" ht="36" customHeight="1">
      <c r="A9" s="75" t="inlineStr">
        <is>
          <t>P-008</t>
        </is>
      </c>
      <c r="B9" s="75" t="inlineStr">
        <is>
          <t>AnimeJapan 2027</t>
        </is>
      </c>
      <c r="C9" s="75" t="inlineStr">
        <is>
          <t>Reserva</t>
        </is>
      </c>
      <c r="D9" s="75" t="inlineStr">
        <is>
          <t>CONFIRMADO 2027</t>
        </is>
      </c>
      <c r="E9" s="75" t="inlineStr">
        <is>
          <t>Precio, venta, programa y reglas de acceso.</t>
        </is>
      </c>
      <c r="F9" s="75" t="inlineStr">
        <is>
          <t>Diciembre 2026–febrero 2027</t>
        </is>
      </c>
      <c r="G9" s="75" t="inlineStr">
        <is>
          <t>https://anime-japan.jp/en/about/</t>
        </is>
      </c>
      <c r="H9" s="75" t="inlineStr">
        <is>
          <t>Alta</t>
        </is>
      </c>
      <c r="I9" s="75" t="inlineStr">
        <is>
          <t>Abierto</t>
        </is>
      </c>
    </row>
    <row r="10" ht="36" customHeight="1">
      <c r="A10" s="75" t="inlineStr">
        <is>
          <t>P-009</t>
        </is>
      </c>
      <c r="B10" s="75" t="inlineStr">
        <is>
          <t>Grand Sumo Osaka 2027</t>
        </is>
      </c>
      <c r="C10" s="75" t="inlineStr">
        <is>
          <t>Reserva</t>
        </is>
      </c>
      <c r="D10" s="75" t="inlineStr">
        <is>
          <t>CONFIRMADO 2027</t>
        </is>
      </c>
      <c r="E10" s="75" t="inlineStr">
        <is>
          <t>Canal de venta, mapa de asientos y disponibilidad.</t>
        </is>
      </c>
      <c r="F10" s="75" t="inlineStr">
        <is>
          <t>6 febrero 2027</t>
        </is>
      </c>
      <c r="G10" s="75" t="inlineStr">
        <is>
          <t>https://www.sumo.or.jp/EnTicket/year_schedule/</t>
        </is>
      </c>
      <c r="H10" s="75" t="inlineStr">
        <is>
          <t>Alta</t>
        </is>
      </c>
      <c r="I10" s="75" t="inlineStr">
        <is>
          <t>Abierto</t>
        </is>
      </c>
    </row>
    <row r="11" ht="36" customHeight="1">
      <c r="A11" s="75" t="inlineStr">
        <is>
          <t>P-010</t>
        </is>
      </c>
      <c r="B11" s="75" t="inlineStr">
        <is>
          <t>Tokyo Marathon 2027</t>
        </is>
      </c>
      <c r="C11" s="75" t="inlineStr">
        <is>
          <t>Logística</t>
        </is>
      </c>
      <c r="D11" s="75" t="inlineStr">
        <is>
          <t>CONFIRMADO 2027</t>
        </is>
      </c>
      <c r="E11" s="75" t="inlineStr">
        <is>
          <t>Mapa de recorrido, cortes y estaciones afectadas.</t>
        </is>
      </c>
      <c r="F11" s="75" t="inlineStr">
        <is>
          <t>Febrero 2027</t>
        </is>
      </c>
      <c r="G11" s="75" t="inlineStr">
        <is>
          <t>https://www.marathon.tokyo/en/</t>
        </is>
      </c>
      <c r="H11" s="75" t="inlineStr">
        <is>
          <t>Alta</t>
        </is>
      </c>
      <c r="I11" s="75" t="inlineStr">
        <is>
          <t>Abierto</t>
        </is>
      </c>
    </row>
    <row r="12" ht="36" customHeight="1">
      <c r="A12" s="75" t="inlineStr">
        <is>
          <t>P-011</t>
        </is>
      </c>
      <c r="B12" s="75" t="inlineStr">
        <is>
          <t>Tokyo Disney Resort</t>
        </is>
      </c>
      <c r="C12" s="75" t="inlineStr">
        <is>
          <t>Apertura / mantenimiento</t>
        </is>
      </c>
      <c r="D12" s="75" t="inlineStr">
        <is>
          <t>PENDIENTE 2027</t>
        </is>
      </c>
      <c r="E12" s="75" t="inlineStr">
        <is>
          <t>Fecha exacta de nuevas atracciones, cierres y venta.</t>
        </is>
      </c>
      <c r="F12" s="75" t="inlineStr">
        <is>
          <t>Enero–febrero 2027</t>
        </is>
      </c>
      <c r="G12" s="75" t="inlineStr">
        <is>
          <t>https://www.tokyodisneyresort.jp/en/index.html</t>
        </is>
      </c>
      <c r="H12" s="75" t="inlineStr">
        <is>
          <t>Alta</t>
        </is>
      </c>
      <c r="I12" s="75" t="inlineStr">
        <is>
          <t>Abierto</t>
        </is>
      </c>
    </row>
    <row r="13" ht="36" customHeight="1">
      <c r="A13" s="75" t="inlineStr">
        <is>
          <t>P-012</t>
        </is>
      </c>
      <c r="B13" s="75" t="inlineStr">
        <is>
          <t>PokéPark KANTO</t>
        </is>
      </c>
      <c r="C13" s="75" t="inlineStr">
        <is>
          <t>Reserva</t>
        </is>
      </c>
      <c r="D13" s="75" t="inlineStr">
        <is>
          <t>CAMBIANTE</t>
        </is>
      </c>
      <c r="E13" s="75" t="inlineStr">
        <is>
          <t>Calendario 2027, lotería/venta y restricciones.</t>
        </is>
      </c>
      <c r="F13" s="75" t="inlineStr">
        <is>
          <t>Cuando abra calendario 2027</t>
        </is>
      </c>
      <c r="G13" s="75" t="inlineStr">
        <is>
          <t>https://www.pokepark-kanto.co.jp/</t>
        </is>
      </c>
      <c r="H13" s="75" t="inlineStr">
        <is>
          <t>Alta</t>
        </is>
      </c>
      <c r="I13" s="75" t="inlineStr">
        <is>
          <t>Abierto</t>
        </is>
      </c>
    </row>
    <row r="14" ht="36" customHeight="1">
      <c r="A14" s="75" t="inlineStr">
        <is>
          <t>P-013</t>
        </is>
      </c>
      <c r="B14" s="75" t="inlineStr">
        <is>
          <t>Ghibli Museum</t>
        </is>
      </c>
      <c r="C14" s="75" t="inlineStr">
        <is>
          <t>Reserva</t>
        </is>
      </c>
      <c r="D14" s="75" t="inlineStr">
        <is>
          <t>PENDIENTE 2027</t>
        </is>
      </c>
      <c r="E14" s="75" t="inlineStr">
        <is>
          <t>Venta mensual y cierres de mantenimiento.</t>
        </is>
      </c>
      <c r="F14" s="75" t="inlineStr">
        <is>
          <t>1–2 meses antes</t>
        </is>
      </c>
      <c r="G14" s="75" t="inlineStr">
        <is>
          <t>https://www.ghibli-museum.jp/en/tickets/</t>
        </is>
      </c>
      <c r="H14" s="75" t="inlineStr">
        <is>
          <t>Alta</t>
        </is>
      </c>
      <c r="I14" s="75" t="inlineStr">
        <is>
          <t>Abierto</t>
        </is>
      </c>
    </row>
    <row r="15" ht="36" customHeight="1">
      <c r="A15" s="75" t="inlineStr">
        <is>
          <t>P-014</t>
        </is>
      </c>
      <c r="B15" s="75" t="inlineStr">
        <is>
          <t>Nintendo Museum</t>
        </is>
      </c>
      <c r="C15" s="75" t="inlineStr">
        <is>
          <t>Reserva</t>
        </is>
      </c>
      <c r="D15" s="75" t="inlineStr">
        <is>
          <t>CAMBIANTE</t>
        </is>
      </c>
      <c r="E15" s="75" t="inlineStr">
        <is>
          <t>Lotería/venta, días cerrados y restricciones.</t>
        </is>
      </c>
      <c r="F15" s="75" t="inlineStr">
        <is>
          <t>2–3 meses antes</t>
        </is>
      </c>
      <c r="G15" s="75" t="inlineStr">
        <is>
          <t>https://museum.nintendo.com/en/</t>
        </is>
      </c>
      <c r="H15" s="75" t="inlineStr">
        <is>
          <t>Alta</t>
        </is>
      </c>
      <c r="I15" s="75" t="inlineStr">
        <is>
          <t>Abierto</t>
        </is>
      </c>
    </row>
    <row r="16" ht="36" customHeight="1">
      <c r="A16" s="75" t="inlineStr">
        <is>
          <t>P-015</t>
        </is>
      </c>
      <c r="B16" s="75" t="inlineStr">
        <is>
          <t>Universal Studios Japan</t>
        </is>
      </c>
      <c r="C16" s="75" t="inlineStr">
        <is>
          <t>Mantenimiento</t>
        </is>
      </c>
      <c r="D16" s="75" t="inlineStr">
        <is>
          <t>PENDIENTE 2027</t>
        </is>
      </c>
      <c r="E16" s="75" t="inlineStr">
        <is>
          <t>Atracciones cerradas, Express Pass y eventos.</t>
        </is>
      </c>
      <c r="F16" s="75" t="inlineStr">
        <is>
          <t>2–3 meses antes</t>
        </is>
      </c>
      <c r="G16" s="75" t="inlineStr">
        <is>
          <t>https://www.usj.co.jp/web/en/us</t>
        </is>
      </c>
      <c r="H16" s="75" t="inlineStr">
        <is>
          <t>Alta</t>
        </is>
      </c>
      <c r="I16" s="75" t="inlineStr">
        <is>
          <t>Abierto</t>
        </is>
      </c>
    </row>
    <row r="17" ht="36" customHeight="1">
      <c r="A17" s="75" t="inlineStr">
        <is>
          <t>P-016</t>
        </is>
      </c>
      <c r="B17" s="75" t="inlineStr">
        <is>
          <t>Shurijo Seiden</t>
        </is>
      </c>
      <c r="C17" s="75" t="inlineStr">
        <is>
          <t>Reserva / operación</t>
        </is>
      </c>
      <c r="D17" s="75" t="inlineStr">
        <is>
          <t>CAMBIANTE</t>
        </is>
      </c>
      <c r="E17" s="75" t="inlineStr">
        <is>
          <t>Reserva, tarifa y áreas aún en obra.</t>
        </is>
      </c>
      <c r="F17" s="75" t="inlineStr">
        <is>
          <t>Enero 2027</t>
        </is>
      </c>
      <c r="G17" s="75" t="inlineStr">
        <is>
          <t>https://oki-park.jp/shurijo/en/</t>
        </is>
      </c>
      <c r="H17" s="75" t="inlineStr">
        <is>
          <t>Media</t>
        </is>
      </c>
      <c r="I17" s="75" t="inlineStr">
        <is>
          <t>Abierto</t>
        </is>
      </c>
    </row>
    <row r="18" ht="36" customHeight="1">
      <c r="A18" s="75" t="inlineStr">
        <is>
          <t>P-017</t>
        </is>
      </c>
      <c r="B18" s="75" t="inlineStr">
        <is>
          <t>teamLab Borderless y Planets</t>
        </is>
      </c>
      <c r="C18" s="75" t="inlineStr">
        <is>
          <t>Reserva / precio</t>
        </is>
      </c>
      <c r="D18" s="75" t="inlineStr">
        <is>
          <t>CAMBIANTE</t>
        </is>
      </c>
      <c r="E18" s="75" t="inlineStr">
        <is>
          <t>Tarifas, horarios y cierres puntuales.</t>
        </is>
      </c>
      <c r="F18" s="75" t="inlineStr">
        <is>
          <t>1–2 meses antes</t>
        </is>
      </c>
      <c r="G18" s="75" t="inlineStr">
        <is>
          <t>https://www.teamlab.art/</t>
        </is>
      </c>
      <c r="H18" s="75" t="inlineStr">
        <is>
          <t>Media</t>
        </is>
      </c>
      <c r="I18" s="75" t="inlineStr">
        <is>
          <t>Abierto</t>
        </is>
      </c>
    </row>
    <row r="19" ht="36" customHeight="1">
      <c r="A19" s="75" t="inlineStr">
        <is>
          <t>P-018</t>
        </is>
      </c>
      <c r="B19" s="75" t="inlineStr">
        <is>
          <t>Ferries Okunoshima / Naoshima / islas Okinawa</t>
        </is>
      </c>
      <c r="C19" s="75" t="inlineStr">
        <is>
          <t>Transporte</t>
        </is>
      </c>
      <c r="D19" s="75" t="inlineStr">
        <is>
          <t>CAMBIANTE</t>
        </is>
      </c>
      <c r="E19" s="75" t="inlineStr">
        <is>
          <t>Horarios invernales, mantenimiento y cancelaciones.</t>
        </is>
      </c>
      <c r="F19" s="75" t="inlineStr">
        <is>
          <t>1 mes y 48 h antes</t>
        </is>
      </c>
      <c r="G19" s="75" t="inlineStr">
        <is>
          <t>https://www.japan.travel/en/</t>
        </is>
      </c>
      <c r="H19" s="75" t="inlineStr">
        <is>
          <t>Alta</t>
        </is>
      </c>
      <c r="I19" s="75" t="inlineStr">
        <is>
          <t>Abierto</t>
        </is>
      </c>
    </row>
    <row r="20" ht="36" customHeight="1">
      <c r="A20" s="75" t="inlineStr">
        <is>
          <t>P-019</t>
        </is>
      </c>
      <c r="B20" s="75" t="inlineStr">
        <is>
          <t>Clima, nieve y hielo</t>
        </is>
      </c>
      <c r="C20" s="75" t="inlineStr">
        <is>
          <t>Seguridad</t>
        </is>
      </c>
      <c r="D20" s="75" t="inlineStr">
        <is>
          <t>PENDIENTE 2027</t>
        </is>
      </c>
      <c r="E20" s="75" t="inlineStr">
        <is>
          <t>Pronóstico, cierres de senderos y transporte.</t>
        </is>
      </c>
      <c r="F20" s="75" t="inlineStr">
        <is>
          <t>7 días y 24–48 h antes</t>
        </is>
      </c>
      <c r="G20" s="75" t="inlineStr">
        <is>
          <t>https://www.jma.go.jp/jma/indexe.html</t>
        </is>
      </c>
      <c r="H20" s="75" t="inlineStr">
        <is>
          <t>Alta</t>
        </is>
      </c>
      <c r="I20" s="75" t="inlineStr">
        <is>
          <t>Abierto</t>
        </is>
      </c>
    </row>
    <row r="21" ht="36" customHeight="1">
      <c r="A21" s="75" t="inlineStr">
        <is>
          <t>P-020</t>
        </is>
      </c>
      <c r="B21" s="75" t="inlineStr">
        <is>
          <t>Precios JPY y tipo JPY→MXN</t>
        </is>
      </c>
      <c r="C21" s="75" t="inlineStr">
        <is>
          <t>Precio</t>
        </is>
      </c>
      <c r="D21" s="75" t="inlineStr">
        <is>
          <t>CAMBIANTE</t>
        </is>
      </c>
      <c r="E21" s="75" t="inlineStr">
        <is>
          <t>Actualizar tarifas y tipo de cambio de Configuración.</t>
        </is>
      </c>
      <c r="F21" s="75" t="inlineStr">
        <is>
          <t>Enero 2027</t>
        </is>
      </c>
      <c r="G21" s="75" t="inlineStr">
        <is>
          <t>Fuentes oficiales de cada entrada</t>
        </is>
      </c>
      <c r="H21" s="75" t="inlineStr">
        <is>
          <t>Media</t>
        </is>
      </c>
      <c r="I21" s="75" t="inlineStr">
        <is>
          <t>Abierto</t>
        </is>
      </c>
    </row>
    <row r="22" ht="36" customHeight="1">
      <c r="A22" s="75" t="inlineStr">
        <is>
          <t>P-021</t>
        </is>
      </c>
      <c r="B22" s="75" t="inlineStr">
        <is>
          <t>Exposiciones temporales de museos</t>
        </is>
      </c>
      <c r="C22" s="75" t="inlineStr">
        <is>
          <t>Exposición</t>
        </is>
      </c>
      <c r="D22" s="75" t="inlineStr">
        <is>
          <t>PENDIENTE 2027</t>
        </is>
      </c>
      <c r="E22" s="75" t="inlineStr">
        <is>
          <t>Calendarios de Tokio, Kioto, Osaka y Naoshima.</t>
        </is>
      </c>
      <c r="F22" s="75" t="inlineStr">
        <is>
          <t>Diciembre 2026–enero 2027</t>
        </is>
      </c>
      <c r="G22" s="75" t="inlineStr">
        <is>
          <t>Web oficial de cada museo</t>
        </is>
      </c>
      <c r="H22" s="75" t="inlineStr">
        <is>
          <t>Media</t>
        </is>
      </c>
      <c r="I22" s="75" t="inlineStr">
        <is>
          <t>Abierto</t>
        </is>
      </c>
    </row>
    <row r="23" ht="36" customHeight="1">
      <c r="A23" s="75" t="inlineStr">
        <is>
          <t>P-022</t>
        </is>
      </c>
      <c r="B23" s="75" t="inlineStr">
        <is>
          <t>Requisitos de entrada y restricciones sanitarias</t>
        </is>
      </c>
      <c r="C23" s="75" t="inlineStr">
        <is>
          <t>Requisitos</t>
        </is>
      </c>
      <c r="D23" s="75" t="inlineStr">
        <is>
          <t>CAMBIANTE</t>
        </is>
      </c>
      <c r="E23" s="75" t="inlineStr">
        <is>
          <t>Normas migratorias, Visit Japan Web y salud.</t>
        </is>
      </c>
      <c r="F23" s="75" t="inlineStr">
        <is>
          <t>Enero 2027</t>
        </is>
      </c>
      <c r="G23" s="75" t="inlineStr">
        <is>
          <t>https://www.mofa.go.jp/j_info/visit/visa/index.html</t>
        </is>
      </c>
      <c r="H23" s="75" t="inlineStr">
        <is>
          <t>Alta</t>
        </is>
      </c>
      <c r="I23" s="75" t="inlineStr">
        <is>
          <t>Abierto</t>
        </is>
      </c>
    </row>
  </sheetData>
  <dataValidations count="2">
    <dataValidation sqref="H2:H23" showDropDown="0" showInputMessage="0" showErrorMessage="0" allowBlank="0" type="list">
      <formula1>"Alta,Media,Baja"</formula1>
    </dataValidation>
    <dataValidation sqref="I2:I23" showDropDown="0" showInputMessage="0" showErrorMessage="0" allowBlank="0" type="list">
      <formula1>"Abierto,Revisado,Cerrado"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0" customWidth="1" min="3" max="3"/>
    <col width="45" customWidth="1" min="4" max="4"/>
    <col width="62" customWidth="1" min="5" max="5"/>
    <col width="50" customWidth="1" min="6" max="6"/>
    <col width="13" customWidth="1" min="7" max="7"/>
  </cols>
  <sheetData>
    <row r="1" ht="30" customHeight="1">
      <c r="A1" s="75" t="inlineStr">
        <is>
          <t>Propuesta de la auditoría</t>
        </is>
      </c>
      <c r="B1" s="75" t="inlineStr">
        <is>
          <t>Categoría</t>
        </is>
      </c>
      <c r="C1" s="75" t="inlineStr">
        <is>
          <t>Decisión</t>
        </is>
      </c>
      <c r="D1" s="75" t="inlineStr">
        <is>
          <t>Acción en v2</t>
        </is>
      </c>
      <c r="E1" s="75" t="inlineStr">
        <is>
          <t>Motivo</t>
        </is>
      </c>
      <c r="F1" s="75" t="inlineStr">
        <is>
          <t>Fuente</t>
        </is>
      </c>
      <c r="G1" s="75" t="inlineStr">
        <is>
          <t>Fecha</t>
        </is>
      </c>
    </row>
    <row r="2" ht="36" customHeight="1">
      <c r="A2" s="75" t="inlineStr">
        <is>
          <t>teamLab Borderless cerró y fue sustituido por Planets</t>
        </is>
      </c>
      <c r="B2" s="75" t="inlineStr">
        <is>
          <t>Cierre</t>
        </is>
      </c>
      <c r="C2" s="75" t="inlineStr">
        <is>
          <t>❌ RECHAZADA</t>
        </is>
      </c>
      <c r="D2" s="75" t="inlineStr">
        <is>
          <t>Se mantuvieron dos entradas independientes.</t>
        </is>
      </c>
      <c r="E2" s="75" t="inlineStr">
        <is>
          <t>Borderless reabrió en Azabudai Hills y es permanente; Planets continúa en Toyosu.</t>
        </is>
      </c>
      <c r="F2" s="75" t="inlineStr">
        <is>
          <t>https://www.teamlab.art/e/tokyo/</t>
        </is>
      </c>
      <c r="G2" s="75" t="inlineStr">
        <is>
          <t>2026-09-01</t>
        </is>
      </c>
    </row>
    <row r="3" ht="36" customHeight="1">
      <c r="A3" s="75" t="inlineStr">
        <is>
          <t>PokéPark KANTO</t>
        </is>
      </c>
      <c r="B3" s="75" t="inlineStr">
        <is>
          <t>Adición</t>
        </is>
      </c>
      <c r="C3" s="75" t="inlineStr">
        <is>
          <t>✅ ACEPTADA</t>
        </is>
      </c>
      <c r="D3" s="75" t="inlineStr">
        <is>
          <t>Entrada existente actualizada; no se duplicó.</t>
        </is>
      </c>
      <c r="E3" s="75" t="inlineStr">
        <is>
          <t>Ya constaba como JP-050 con apertura 5 feb 2026.</t>
        </is>
      </c>
      <c r="F3" s="75" t="inlineStr">
        <is>
          <t>https://www.pokepark-kanto.co.jp/ppark/top/index?languageKind=en_US</t>
        </is>
      </c>
      <c r="G3" s="75" t="inlineStr">
        <is>
          <t>2026-09-01</t>
        </is>
      </c>
    </row>
    <row r="4" ht="36" customHeight="1">
      <c r="A4" s="75" t="inlineStr">
        <is>
          <t>Nikko</t>
        </is>
      </c>
      <c r="B4" s="75" t="inlineStr">
        <is>
          <t>Adición</t>
        </is>
      </c>
      <c r="C4" s="75" t="inlineStr">
        <is>
          <t>✅ ACEPTADA</t>
        </is>
      </c>
      <c r="D4" s="75" t="inlineStr">
        <is>
          <t>Se conservó como excursión existente; no se duplicó.</t>
        </is>
      </c>
      <c r="E4" s="75" t="inlineStr">
        <is>
          <t>Ya estaba en Excursiones.</t>
        </is>
      </c>
      <c r="F4" s="75" t="inlineStr">
        <is>
          <t>https://www.japan.travel/en/uk/inspiration/nikko/</t>
        </is>
      </c>
      <c r="G4" s="75" t="inlineStr">
        <is>
          <t>2026-09-01</t>
        </is>
      </c>
    </row>
    <row r="5" ht="36" customHeight="1">
      <c r="A5" s="75" t="inlineStr">
        <is>
          <t>Kawagoe</t>
        </is>
      </c>
      <c r="B5" s="75" t="inlineStr">
        <is>
          <t>Adición</t>
        </is>
      </c>
      <c r="C5" s="75" t="inlineStr">
        <is>
          <t>✅ ACEPTADA</t>
        </is>
      </c>
      <c r="D5" s="75" t="inlineStr">
        <is>
          <t>Se conservó como excursión existente; no se duplicó.</t>
        </is>
      </c>
      <c r="E5" s="75" t="inlineStr">
        <is>
          <t>Ya estaba en Excursiones.</t>
        </is>
      </c>
      <c r="F5" s="75" t="inlineStr">
        <is>
          <t>https://www.koedo.or.jp/foreign/english/</t>
        </is>
      </c>
      <c r="G5" s="75" t="inlineStr">
        <is>
          <t>2026-09-01</t>
        </is>
      </c>
    </row>
    <row r="6" ht="36" customHeight="1">
      <c r="A6" s="75" t="inlineStr">
        <is>
          <t>Kawazu Cherry Blossom Festival</t>
        </is>
      </c>
      <c r="B6" s="75" t="inlineStr">
        <is>
          <t>Adición / evento</t>
        </is>
      </c>
      <c r="C6" s="75" t="inlineStr">
        <is>
          <t>⚠️ ACEPTADA CON CORRECCIÓN</t>
        </is>
      </c>
      <c r="D6" s="75" t="inlineStr">
        <is>
          <t>Añadido con fechas 2027 pendientes.</t>
        </is>
      </c>
      <c r="E6" s="75" t="inlineStr">
        <is>
          <t>El evento es válido, pero no hay edición 2027 confirmada.</t>
        </is>
      </c>
      <c r="F6" s="75" t="inlineStr">
        <is>
          <t>https://kawazuzakura.net/</t>
        </is>
      </c>
      <c r="G6" s="75" t="inlineStr">
        <is>
          <t>2026-09-01</t>
        </is>
      </c>
    </row>
    <row r="7" ht="36" customHeight="1">
      <c r="A7" s="75" t="inlineStr">
        <is>
          <t>Omizutori</t>
        </is>
      </c>
      <c r="B7" s="75" t="inlineStr">
        <is>
          <t>Adición / evento</t>
        </is>
      </c>
      <c r="C7" s="75" t="inlineStr">
        <is>
          <t>⚠️ ACEPTADA CON CORRECCIÓN</t>
        </is>
      </c>
      <c r="D7" s="75" t="inlineStr">
        <is>
          <t>Integrado en Tōdai-ji JP-129.</t>
        </is>
      </c>
      <c r="E7" s="75" t="inlineStr">
        <is>
          <t>Evita duplicar el lugar; el patrón anual es fuerte, el programa 2027 está pendiente.</t>
        </is>
      </c>
      <c r="F7" s="75" t="inlineStr">
        <is>
          <t>https://www.todaiji.or.jp/en/annual/event/shunie/</t>
        </is>
      </c>
      <c r="G7" s="75" t="inlineStr">
        <is>
          <t>2026-09-01</t>
        </is>
      </c>
    </row>
    <row r="8" ht="36" customHeight="1">
      <c r="A8" s="75" t="inlineStr">
        <is>
          <t>Otaru Snow Light Path</t>
        </is>
      </c>
      <c r="B8" s="75" t="inlineStr">
        <is>
          <t>Adición / evento</t>
        </is>
      </c>
      <c r="C8" s="75" t="inlineStr">
        <is>
          <t>⚠️ ACEPTADA CON CORRECCIÓN</t>
        </is>
      </c>
      <c r="D8" s="75" t="inlineStr">
        <is>
          <t>Añadido; fechas 2027 pendientes.</t>
        </is>
      </c>
      <c r="E8" s="75" t="inlineStr">
        <is>
          <t>Evento válido, sin anuncio oficial 2027 al corte.</t>
        </is>
      </c>
      <c r="F8" s="75" t="inlineStr">
        <is>
          <t>https://otaru-yukiakarinomichi.org/</t>
        </is>
      </c>
      <c r="G8" s="75" t="inlineStr">
        <is>
          <t>2026-09-01</t>
        </is>
      </c>
    </row>
    <row r="9" ht="36" customHeight="1">
      <c r="A9" s="75" t="inlineStr">
        <is>
          <t>Lake Shikotsu Ice Festival</t>
        </is>
      </c>
      <c r="B9" s="75" t="inlineStr">
        <is>
          <t>Adición / evento</t>
        </is>
      </c>
      <c r="C9" s="75" t="inlineStr">
        <is>
          <t>⚠️ ACEPTADA CON CORRECCIÓN</t>
        </is>
      </c>
      <c r="D9" s="75" t="inlineStr">
        <is>
          <t>Añadido; fechas 2027 pendientes.</t>
        </is>
      </c>
      <c r="E9" s="75" t="inlineStr">
        <is>
          <t>No se convirtió el patrón histórico en hecho.</t>
        </is>
      </c>
      <c r="F9" s="75" t="inlineStr">
        <is>
          <t>https://hyoutou-special.asia/</t>
        </is>
      </c>
      <c r="G9" s="75" t="inlineStr">
        <is>
          <t>2026-09-01</t>
        </is>
      </c>
    </row>
    <row r="10" ht="36" customHeight="1">
      <c r="A10" s="75" t="inlineStr">
        <is>
          <t>Naoshima</t>
        </is>
      </c>
      <c r="B10" s="75" t="inlineStr">
        <is>
          <t>Adición</t>
        </is>
      </c>
      <c r="C10" s="75" t="inlineStr">
        <is>
          <t>✅ ACEPTADA</t>
        </is>
      </c>
      <c r="D10" s="75" t="inlineStr">
        <is>
          <t>Se conservó JP-152; no se duplicó.</t>
        </is>
      </c>
      <c r="E10" s="75" t="inlineStr">
        <is>
          <t>Ya existía con fuente oficial.</t>
        </is>
      </c>
      <c r="F10" s="75" t="inlineStr">
        <is>
          <t>https://benesse-artsite.jp/en/</t>
        </is>
      </c>
      <c r="G10" s="75" t="inlineStr">
        <is>
          <t>2026-09-01</t>
        </is>
      </c>
    </row>
    <row r="11" ht="36" customHeight="1">
      <c r="A11" s="75" t="inlineStr">
        <is>
          <t>Okunoshima</t>
        </is>
      </c>
      <c r="B11" s="75" t="inlineStr">
        <is>
          <t>Adición</t>
        </is>
      </c>
      <c r="C11" s="75" t="inlineStr">
        <is>
          <t>✅ ACEPTADA</t>
        </is>
      </c>
      <c r="D11" s="75" t="inlineStr">
        <is>
          <t>Añadido como JP-209.</t>
        </is>
      </c>
      <c r="E11" s="75" t="inlineStr">
        <is>
          <t>Aporta naturaleza e historia; logística debe revisarse.</t>
        </is>
      </c>
      <c r="F11" s="75" t="inlineStr">
        <is>
          <t>https://www.japan.travel/en/spot/871/</t>
        </is>
      </c>
      <c r="G11" s="75" t="inlineStr">
        <is>
          <t>2026-09-01</t>
        </is>
      </c>
    </row>
    <row r="12" ht="36" customHeight="1">
      <c r="A12" s="75" t="inlineStr">
        <is>
          <t>Koyasan</t>
        </is>
      </c>
      <c r="B12" s="75" t="inlineStr">
        <is>
          <t>Adición</t>
        </is>
      </c>
      <c r="C12" s="75" t="inlineStr">
        <is>
          <t>✅ ACEPTADA</t>
        </is>
      </c>
      <c r="D12" s="75" t="inlineStr">
        <is>
          <t>Se conservaron entradas existentes; no se duplicó.</t>
        </is>
      </c>
      <c r="E12" s="75" t="inlineStr">
        <is>
          <t>Ya constaban la estancia y Okunoin.</t>
        </is>
      </c>
      <c r="F12" s="75" t="inlineStr">
        <is>
          <t>https://www.koyasan.or.jp/english/</t>
        </is>
      </c>
      <c r="G12" s="75" t="inlineStr">
        <is>
          <t>2026-09-01</t>
        </is>
      </c>
    </row>
    <row r="13" ht="36" customHeight="1">
      <c r="A13" s="75" t="inlineStr">
        <is>
          <t>Takayama</t>
        </is>
      </c>
      <c r="B13" s="75" t="inlineStr">
        <is>
          <t>Adición</t>
        </is>
      </c>
      <c r="C13" s="75" t="inlineStr">
        <is>
          <t>✅ ACEPTADA</t>
        </is>
      </c>
      <c r="D13" s="75" t="inlineStr">
        <is>
          <t>Añadido como JP-210.</t>
        </is>
      </c>
      <c r="E13" s="75" t="inlineStr">
        <is>
          <t>Destino regional sólido y bien documentado.</t>
        </is>
      </c>
      <c r="F13" s="75" t="inlineStr">
        <is>
          <t>https://www.japan.travel/en/spot/152/</t>
        </is>
      </c>
      <c r="G13" s="75" t="inlineStr">
        <is>
          <t>2026-09-01</t>
        </is>
      </c>
    </row>
    <row r="14" ht="36" customHeight="1">
      <c r="A14" s="75" t="inlineStr">
        <is>
          <t>AnimeJapan 27–28 mar 2027 en Tokio</t>
        </is>
      </c>
      <c r="B14" s="75" t="inlineStr">
        <is>
          <t>Evento</t>
        </is>
      </c>
      <c r="C14" s="75" t="inlineStr">
        <is>
          <t>⚠️ ACEPTADA CON CORRECCIÓN</t>
        </is>
      </c>
      <c r="D14" s="75" t="inlineStr">
        <is>
          <t>Añadido en Osaka, JP-211.</t>
        </is>
      </c>
      <c r="E14" s="75" t="inlineStr">
        <is>
          <t>Fechas confirmadas, pero la sede oficial es INTEX Osaka.</t>
        </is>
      </c>
      <c r="F14" s="75" t="inlineStr">
        <is>
          <t>https://anime-japan.jp/en/about/</t>
        </is>
      </c>
      <c r="G14" s="75" t="inlineStr">
        <is>
          <t>2026-09-01</t>
        </is>
      </c>
    </row>
    <row r="15" ht="36" customHeight="1">
      <c r="A15" s="75" t="inlineStr">
        <is>
          <t>Sumo de marzo 2027</t>
        </is>
      </c>
      <c r="B15" s="75" t="inlineStr">
        <is>
          <t>Evento</t>
        </is>
      </c>
      <c r="C15" s="75" t="inlineStr">
        <is>
          <t>✅ ACEPTADA</t>
        </is>
      </c>
      <c r="D15" s="75" t="inlineStr">
        <is>
          <t>Añadido torneo oficial de Osaka, JP-212.</t>
        </is>
      </c>
      <c r="E15" s="75" t="inlineStr">
        <is>
          <t>Calendario oficial confirma 14–28 mar y venta 6 feb.</t>
        </is>
      </c>
      <c r="F15" s="75" t="inlineStr">
        <is>
          <t>https://www.sumo.or.jp/EnTicket/year_schedule/</t>
        </is>
      </c>
      <c r="G15" s="75" t="inlineStr">
        <is>
          <t>2026-09-01</t>
        </is>
      </c>
    </row>
    <row r="16" ht="36" customHeight="1">
      <c r="A16" s="75" t="inlineStr">
        <is>
          <t>Tokyo Marathon 7 mar 2027</t>
        </is>
      </c>
      <c r="B16" s="75" t="inlineStr">
        <is>
          <t>Evento</t>
        </is>
      </c>
      <c r="C16" s="75" t="inlineStr">
        <is>
          <t>✅ ACEPTADA</t>
        </is>
      </c>
      <c r="D16" s="75" t="inlineStr">
        <is>
          <t>Añadido como evento y riesgo logístico, JP-213.</t>
        </is>
      </c>
      <c r="E16" s="75" t="inlineStr">
        <is>
          <t>Fecha confirmada por la organización.</t>
        </is>
      </c>
      <c r="F16" s="75" t="inlineStr">
        <is>
          <t>https://www.marathon.tokyo/en/news/detail/news_20260415111128.html</t>
        </is>
      </c>
      <c r="G16" s="75" t="inlineStr">
        <is>
          <t>2026-09-01</t>
        </is>
      </c>
    </row>
    <row r="17" ht="36" customHeight="1">
      <c r="A17" s="75" t="inlineStr">
        <is>
          <t>Sapporo Snow Festival 4–11 feb 2027 confirmado</t>
        </is>
      </c>
      <c r="B17" s="75" t="inlineStr">
        <is>
          <t>Evento</t>
        </is>
      </c>
      <c r="C17" s="75" t="inlineStr">
        <is>
          <t>⚠️ ACEPTADA CON CORRECCIÓN</t>
        </is>
      </c>
      <c r="D17" s="75" t="inlineStr">
        <is>
          <t>Añadido el festival; fechas 2027 pendientes.</t>
        </is>
      </c>
      <c r="E17" s="75" t="inlineStr">
        <is>
          <t>La web oficial no confirma aún esas fechas.</t>
        </is>
      </c>
      <c r="F17" s="75" t="inlineStr">
        <is>
          <t>https://www.snowfes.com/en/</t>
        </is>
      </c>
      <c r="G17" s="75" t="inlineStr">
        <is>
          <t>2026-09-01</t>
        </is>
      </c>
    </row>
    <row r="18" ht="36" customHeight="1">
      <c r="A18" s="75" t="inlineStr">
        <is>
          <t>Shurijo seguirá incompleto durante el viaje</t>
        </is>
      </c>
      <c r="B18" s="75" t="inlineStr">
        <is>
          <t>Apertura</t>
        </is>
      </c>
      <c r="C18" s="75" t="inlineStr">
        <is>
          <t>⚠️ ACEPTADA CON CORRECCIÓN</t>
        </is>
      </c>
      <c r="D18" s="75" t="inlineStr">
        <is>
          <t>JP-157 actualizado a Seiden abierto.</t>
        </is>
      </c>
      <c r="E18" s="75" t="inlineStr">
        <is>
          <t>El Seiden abre el 23 nov 2026; otros trabajos pueden continuar.</t>
        </is>
      </c>
      <c r="F18" s="75" t="inlineStr">
        <is>
          <t>https://oki-park.jp.e.ms.hp.transer.com/shurijo/information/detail/10959</t>
        </is>
      </c>
      <c r="G18" s="75" t="inlineStr">
        <is>
          <t>2026-09-01</t>
        </is>
      </c>
    </row>
    <row r="19" ht="36" customHeight="1">
      <c r="A19" s="75" t="inlineStr">
        <is>
          <t>Nuevas atracciones Tokyo Disney primavera 2027</t>
        </is>
      </c>
      <c r="B19" s="75" t="inlineStr">
        <is>
          <t>Apertura</t>
        </is>
      </c>
      <c r="C19" s="75" t="inlineStr">
        <is>
          <t>⚠️ ACEPTADA CON CORRECCIÓN</t>
        </is>
      </c>
      <c r="D19" s="75" t="inlineStr">
        <is>
          <t>Añadidos parques y pendiente de fecha exacta.</t>
        </is>
      </c>
      <c r="E19" s="75" t="inlineStr">
        <is>
          <t>La temporada está anunciada; no se asignó febrero o marzo sin evidencia.</t>
        </is>
      </c>
      <c r="F19" s="75" t="inlineStr">
        <is>
          <t>https://www.tokyodisneyresort.jp/en/index.html</t>
        </is>
      </c>
      <c r="G19" s="75" t="inlineStr">
        <is>
          <t>2026-09-01</t>
        </is>
      </c>
    </row>
    <row r="20" ht="36" customHeight="1">
      <c r="A20" s="75" t="inlineStr">
        <is>
          <t>Eliminar miradores, mercados o templos por redundancia</t>
        </is>
      </c>
      <c r="B20" s="75" t="inlineStr">
        <is>
          <t>Redundancia</t>
        </is>
      </c>
      <c r="C20" s="75" t="inlineStr">
        <is>
          <t>❌ RECHAZADA</t>
        </is>
      </c>
      <c r="D20" s="75" t="inlineStr">
        <is>
          <t>No se eliminó ninguna entrada.</t>
        </is>
      </c>
      <c r="E20" s="75" t="inlineStr">
        <is>
          <t>La base preserva alternativas; Comparativas explica diferencias.</t>
        </is>
      </c>
      <c r="F20" s="75" t="inlineStr">
        <is>
          <t>Criterio editorial v2 S/A/B/C/D</t>
        </is>
      </c>
      <c r="G20" s="75" t="inlineStr">
        <is>
          <t>2026-09-01</t>
        </is>
      </c>
    </row>
    <row r="21" ht="36" customHeight="1">
      <c r="A21" s="75" t="inlineStr">
        <is>
          <t>Eliminar cafés de animales o ramen genérico</t>
        </is>
      </c>
      <c r="B21" s="75" t="inlineStr">
        <is>
          <t>Eliminación</t>
        </is>
      </c>
      <c r="C21" s="75" t="inlineStr">
        <is>
          <t>❌ RECHAZADA</t>
        </is>
      </c>
      <c r="D21" s="75" t="inlineStr">
        <is>
          <t>No se aplicó una eliminación global.</t>
        </is>
      </c>
      <c r="E21" s="75" t="inlineStr">
        <is>
          <t>No hay entradas equivalentes identificables que justifiquen una baja silenciosa.</t>
        </is>
      </c>
      <c r="F21" s="75" t="inlineStr">
        <is>
          <t>Criterio editorial v2 S/A/B/C/D</t>
        </is>
      </c>
      <c r="G21" s="75" t="inlineStr">
        <is>
          <t>2026-09-01</t>
        </is>
      </c>
    </row>
    <row r="22" ht="36" customHeight="1">
      <c r="A22" s="75" t="inlineStr">
        <is>
          <t>Kawagoe, Takayama, Koyasan y Naoshima como Hidden Gem real</t>
        </is>
      </c>
      <c r="B22" s="75" t="inlineStr">
        <is>
          <t>Hidden Gem</t>
        </is>
      </c>
      <c r="C22" s="75" t="inlineStr">
        <is>
          <t>⚠️ ACEPTADA CON CORRECCIÓN</t>
        </is>
      </c>
      <c r="D22" s="75" t="inlineStr">
        <is>
          <t>Se usaron estados conocidos/semi-hidden según saturación real.</t>
        </is>
      </c>
      <c r="E22" s="75" t="inlineStr">
        <is>
          <t>Son destinos establecidos; 'Hidden Gem real' sería engañoso.</t>
        </is>
      </c>
      <c r="F22" s="75" t="inlineStr">
        <is>
          <t>https://www.japan.travel/en/</t>
        </is>
      </c>
      <c r="G22" s="75" t="inlineStr">
        <is>
          <t>2026-09-01</t>
        </is>
      </c>
    </row>
    <row r="23" ht="36" customHeight="1">
      <c r="A23" s="75" t="inlineStr">
        <is>
          <t>Okunoshima como Hidden Gem real</t>
        </is>
      </c>
      <c r="B23" s="75" t="inlineStr">
        <is>
          <t>Hidden Gem</t>
        </is>
      </c>
      <c r="C23" s="75" t="inlineStr">
        <is>
          <t>⚠️ ACEPTADA CON CORRECCIÓN</t>
        </is>
      </c>
      <c r="D23" s="75" t="inlineStr">
        <is>
          <t>Añadido como Semi-hidden.</t>
        </is>
      </c>
      <c r="E23" s="75" t="inlineStr">
        <is>
          <t>Es conocido por los conejos y recibe excursiones; no es desconocido.</t>
        </is>
      </c>
      <c r="F23" s="75" t="inlineStr">
        <is>
          <t>https://www.japan.travel/en/spot/871/</t>
        </is>
      </c>
      <c r="G23" s="75" t="inlineStr">
        <is>
          <t>2026-09-01</t>
        </is>
      </c>
    </row>
    <row r="24" ht="36" customHeight="1">
      <c r="A24" s="75" t="inlineStr">
        <is>
          <t>Maruoka Castle cerrado dic 2026–fin 2027</t>
        </is>
      </c>
      <c r="B24" s="75" t="inlineStr">
        <is>
          <t>Cierre</t>
        </is>
      </c>
      <c r="C24" s="75" t="inlineStr">
        <is>
          <t>❓ PENDIENTE</t>
        </is>
      </c>
      <c r="D24" s="75" t="inlineStr">
        <is>
          <t>No se modificó la base porque no existe una entrada correspondiente.</t>
        </is>
      </c>
      <c r="E24" s="75" t="inlineStr">
        <is>
          <t>Conservar como propuesta para una futura auditoría de cobertura si se añade el castillo.</t>
        </is>
      </c>
      <c r="F24" s="75" t="inlineStr">
        <is>
          <t>Auditoría Deep Research</t>
        </is>
      </c>
      <c r="G24" s="75" t="inlineStr">
        <is>
          <t>2026-09-01</t>
        </is>
      </c>
    </row>
    <row r="25" ht="36" customHeight="1">
      <c r="A25" s="75" t="inlineStr">
        <is>
          <t>Gifu Castle cerrado jun 2026–abr 2028</t>
        </is>
      </c>
      <c r="B25" s="75" t="inlineStr">
        <is>
          <t>Cierre</t>
        </is>
      </c>
      <c r="C25" s="75" t="inlineStr">
        <is>
          <t>❓ PENDIENTE</t>
        </is>
      </c>
      <c r="D25" s="75" t="inlineStr">
        <is>
          <t>No se modificó la base porque no existe una entrada correspondiente.</t>
        </is>
      </c>
      <c r="E25" s="75" t="inlineStr">
        <is>
          <t>Solo será relevante si se incorpora en una futura auditoría de cobertura.</t>
        </is>
      </c>
      <c r="F25" s="75" t="inlineStr">
        <is>
          <t>Auditoría Deep Research</t>
        </is>
      </c>
      <c r="G25" s="75" t="inlineStr">
        <is>
          <t>2026-09-01</t>
        </is>
      </c>
    </row>
    <row r="26" ht="36" customHeight="1">
      <c r="A26" s="75" t="inlineStr">
        <is>
          <t>Yanagawa</t>
        </is>
      </c>
      <c r="B26" s="75" t="inlineStr">
        <is>
          <t>Adición</t>
        </is>
      </c>
      <c r="C26" s="75" t="inlineStr">
        <is>
          <t>✅ ACEPTADA</t>
        </is>
      </c>
      <c r="D26" s="75" t="inlineStr">
        <is>
          <t>Añadido como JP-214.</t>
        </is>
      </c>
      <c r="E26" s="75" t="inlineStr">
        <is>
          <t>Experiencia distinta y bien documentada desde Fukuoka.</t>
        </is>
      </c>
      <c r="F26" s="75" t="inlineStr">
        <is>
          <t>https://www.crossroadfukuoka.jp/en/articles/yanagawa-kawakudari</t>
        </is>
      </c>
      <c r="G26" s="75" t="inlineStr">
        <is>
          <t>2026-09-01</t>
        </is>
      </c>
    </row>
    <row r="27" ht="36" customHeight="1">
      <c r="A27" s="75" t="inlineStr">
        <is>
          <t>Observatorios y atracciones similares deben convivir</t>
        </is>
      </c>
      <c r="B27" s="75" t="inlineStr">
        <is>
          <t>Redundancia</t>
        </is>
      </c>
      <c r="C27" s="75" t="inlineStr">
        <is>
          <t>✅ ACEPTADA</t>
        </is>
      </c>
      <c r="D27" s="75" t="inlineStr">
        <is>
          <t>Se conservaron y ampliaron Comparativas.</t>
        </is>
      </c>
      <c r="E27" s="75" t="inlineStr">
        <is>
          <t>La decisión de ruta queda para una fase posterior.</t>
        </is>
      </c>
      <c r="F27" s="75" t="inlineStr">
        <is>
          <t>Criterio editorial v2 S/A/B/C/D</t>
        </is>
      </c>
      <c r="G27" s="75" t="inlineStr">
        <is>
          <t>2026-09-01</t>
        </is>
      </c>
    </row>
  </sheetData>
  <dataValidations count="1">
    <dataValidation sqref="C2:C27" showDropDown="0" showInputMessage="0" showErrorMessage="0" allowBlank="0" type="list">
      <formula1>"✅ ACEPTADA,⚠️ ACEPTADA CON CORRECCIÓN,❌ RECHAZADA,❓ PENDIENTE"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2026-09-02T17:05:45Z</dcterms:created>
  <dcterms:modified xsi:type="dcterms:W3CDTF">2026-09-02T17:05:45Z</dcterms:modified>
</cp:coreProperties>
</file>